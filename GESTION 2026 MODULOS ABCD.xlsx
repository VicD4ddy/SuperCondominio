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\Desktop\TODO\condominio 2025\año 2026\"/>
    </mc:Choice>
  </mc:AlternateContent>
  <xr:revisionPtr revIDLastSave="0" documentId="13_ncr:1_{CF8E5DD0-6CDF-4AEA-944A-B6B07AF33713}" xr6:coauthVersionLast="47" xr6:coauthVersionMax="47" xr10:uidLastSave="{00000000-0000-0000-0000-000000000000}"/>
  <bookViews>
    <workbookView xWindow="-120" yWindow="-120" windowWidth="29040" windowHeight="15720" xr2:uid="{81CF40BE-6E56-440F-BBEB-B36957619A8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2" l="1"/>
  <c r="C42" i="2"/>
  <c r="C41" i="2"/>
  <c r="F39" i="2"/>
  <c r="C38" i="2"/>
  <c r="C37" i="2"/>
  <c r="G36" i="2"/>
  <c r="B36" i="2"/>
  <c r="B34" i="2"/>
  <c r="B33" i="2"/>
  <c r="B29" i="2"/>
  <c r="B28" i="2"/>
  <c r="G24" i="2"/>
  <c r="C20" i="2"/>
  <c r="F47" i="1" l="1"/>
  <c r="F55" i="1" s="1"/>
  <c r="G47" i="1" l="1"/>
  <c r="G55" i="1" s="1"/>
</calcChain>
</file>

<file path=xl/sharedStrings.xml><?xml version="1.0" encoding="utf-8"?>
<sst xmlns="http://schemas.openxmlformats.org/spreadsheetml/2006/main" count="178" uniqueCount="144">
  <si>
    <t>FECHA</t>
  </si>
  <si>
    <t>CASA</t>
  </si>
  <si>
    <t>REFERENCIA</t>
  </si>
  <si>
    <t>CONCEPTO</t>
  </si>
  <si>
    <t>PROPIETARIO</t>
  </si>
  <si>
    <t>RECIBO</t>
  </si>
  <si>
    <t>2026-001</t>
  </si>
  <si>
    <t>A-17</t>
  </si>
  <si>
    <t>BCV DÍA</t>
  </si>
  <si>
    <t>2026-002</t>
  </si>
  <si>
    <t>2026-003</t>
  </si>
  <si>
    <t>D-09</t>
  </si>
  <si>
    <t>B-01</t>
  </si>
  <si>
    <t>EFECTIVO</t>
  </si>
  <si>
    <t>2026-004</t>
  </si>
  <si>
    <t>2026-005</t>
  </si>
  <si>
    <t>C-21</t>
  </si>
  <si>
    <t>B-14</t>
  </si>
  <si>
    <t>A-18</t>
  </si>
  <si>
    <t>MONTO BS</t>
  </si>
  <si>
    <t>MONTO $</t>
  </si>
  <si>
    <t>C-03</t>
  </si>
  <si>
    <t>ZETALBANET KABLAN</t>
  </si>
  <si>
    <t>A-22</t>
  </si>
  <si>
    <t>B-09</t>
  </si>
  <si>
    <t>C-09</t>
  </si>
  <si>
    <t>MIRNA GARCIA</t>
  </si>
  <si>
    <t xml:space="preserve"> 6$ MARZO 2026</t>
  </si>
  <si>
    <t>16$ ENERO-FEBRERO Y MARZO 2026</t>
  </si>
  <si>
    <t>2026-006</t>
  </si>
  <si>
    <t>2026-007</t>
  </si>
  <si>
    <t>2026-008</t>
  </si>
  <si>
    <t>2026-009</t>
  </si>
  <si>
    <t>2026-010</t>
  </si>
  <si>
    <t>2026-011</t>
  </si>
  <si>
    <t>2026-012</t>
  </si>
  <si>
    <t>2026-013</t>
  </si>
  <si>
    <t>D-13</t>
  </si>
  <si>
    <t>RUBEN SALAS</t>
  </si>
  <si>
    <t>RONELDY GALLARDO</t>
  </si>
  <si>
    <t>9$ MES DE MARZO + PUESTO ADICIONAL</t>
  </si>
  <si>
    <t>JESSICA TEJEDA</t>
  </si>
  <si>
    <t>15$ DIC  2025 ENERO-FEB Y MARZO 2026</t>
  </si>
  <si>
    <t xml:space="preserve">6$  MARZO </t>
  </si>
  <si>
    <t>18$ ENERO-FEBRERO- MARZO Y ABONO 2$ A ABRIL</t>
  </si>
  <si>
    <t>ODALIS</t>
  </si>
  <si>
    <t>12$ ENERO-FEBRERO Y MARZO 2026</t>
  </si>
  <si>
    <t>GESTIÓN CONDOMINIO A PARTIR DE MARZO 2026</t>
  </si>
  <si>
    <t>TOTAL COBRADO:</t>
  </si>
  <si>
    <t>2026-014</t>
  </si>
  <si>
    <t>A-16</t>
  </si>
  <si>
    <t>2026-015</t>
  </si>
  <si>
    <t>C-01</t>
  </si>
  <si>
    <t>YESSENIA TORREALBA</t>
  </si>
  <si>
    <t>2026-016</t>
  </si>
  <si>
    <t>A-12</t>
  </si>
  <si>
    <t>3$ PENDIENTE DE MARZO</t>
  </si>
  <si>
    <t>BEATRIZ FRIAS</t>
  </si>
  <si>
    <t>C-06</t>
  </si>
  <si>
    <t>ANA PATRICIA DUQUE</t>
  </si>
  <si>
    <t>12$ MARZO Y ABRIL</t>
  </si>
  <si>
    <t>APORTE MODULO A-B</t>
  </si>
  <si>
    <t>APORTE MODULO C-D</t>
  </si>
  <si>
    <t>LUIS CASTILLO</t>
  </si>
  <si>
    <t>PEDRO RODRIGUEZ</t>
  </si>
  <si>
    <t xml:space="preserve">MARZO </t>
  </si>
  <si>
    <t>FRANCIS PEREZ</t>
  </si>
  <si>
    <t>GABRIEL DURAN</t>
  </si>
  <si>
    <t xml:space="preserve"> </t>
  </si>
  <si>
    <t>A-21</t>
  </si>
  <si>
    <t>WILLIANS ZIGALA</t>
  </si>
  <si>
    <t>GASTOS:</t>
  </si>
  <si>
    <t>COMPRA CAMARA + MEMORIA 64GB</t>
  </si>
  <si>
    <t>TOTAL INGRESOS - EGRESOS:</t>
  </si>
  <si>
    <t>LIONEL MOGOLLON</t>
  </si>
  <si>
    <t>YELITZA RAMONES</t>
  </si>
  <si>
    <t>2026-017</t>
  </si>
  <si>
    <t>A-06</t>
  </si>
  <si>
    <t>MATILDE DE SOUSA</t>
  </si>
  <si>
    <t>B-05</t>
  </si>
  <si>
    <t>GABRIEL REYES</t>
  </si>
  <si>
    <t>2026-018</t>
  </si>
  <si>
    <t>A-01</t>
  </si>
  <si>
    <t>OMAR FLORO</t>
  </si>
  <si>
    <t>2026-019</t>
  </si>
  <si>
    <t>2026-020</t>
  </si>
  <si>
    <t>B-06</t>
  </si>
  <si>
    <t>DREYSI ABREU</t>
  </si>
  <si>
    <t>2026-021</t>
  </si>
  <si>
    <t>B-20</t>
  </si>
  <si>
    <t>ELIZABETH PEREZ</t>
  </si>
  <si>
    <t>18$</t>
  </si>
  <si>
    <t>2026-022</t>
  </si>
  <si>
    <t>B-11</t>
  </si>
  <si>
    <t>ALVARO</t>
  </si>
  <si>
    <t>6$</t>
  </si>
  <si>
    <t>2026-023</t>
  </si>
  <si>
    <t>2026-024</t>
  </si>
  <si>
    <t>2026-025</t>
  </si>
  <si>
    <t>2026-026</t>
  </si>
  <si>
    <t>B-18</t>
  </si>
  <si>
    <t>RAIMON SERRANO</t>
  </si>
  <si>
    <t>B-22</t>
  </si>
  <si>
    <t>ZULEIMA CARIEL</t>
  </si>
  <si>
    <t>D-21</t>
  </si>
  <si>
    <t>BERNARDA CHOURIO</t>
  </si>
  <si>
    <t>12$  MARZO Y ABRIL</t>
  </si>
  <si>
    <t>D-02</t>
  </si>
  <si>
    <t>NORMA ASCANIO</t>
  </si>
  <si>
    <t>2026-027</t>
  </si>
  <si>
    <t>2026-028</t>
  </si>
  <si>
    <t>D-10</t>
  </si>
  <si>
    <t>JESUS TORRES</t>
  </si>
  <si>
    <t>21$ ENERO-FEB-MARZO + ESTACIONAMIENTO</t>
  </si>
  <si>
    <t>D-20</t>
  </si>
  <si>
    <t>RAUL VASQUEZ</t>
  </si>
  <si>
    <t>41$-25$ PENDIENTE 2025 Y DE ENERO A MARZO 2026</t>
  </si>
  <si>
    <t>CONJUNTO RESIDENCIAL VILLAS DEL SOL V</t>
  </si>
  <si>
    <t>RECIBO N°</t>
  </si>
  <si>
    <t>AUTOGESTIÓN Modulo C-D</t>
  </si>
  <si>
    <t>CASA:</t>
  </si>
  <si>
    <t>PUESTO ADICIONAL</t>
  </si>
  <si>
    <t>X</t>
  </si>
  <si>
    <t>MONTO:</t>
  </si>
  <si>
    <t>FECHA:</t>
  </si>
  <si>
    <t>FORMA DE PAGO</t>
  </si>
  <si>
    <t>PAGO MOVIL</t>
  </si>
  <si>
    <t>Realizado por:</t>
  </si>
  <si>
    <t>El presente recibo refleja el pago y/o abono a las cuotas de condomio a la fecha de emisión.</t>
  </si>
  <si>
    <t>SALDO PENDIENTE A LA FECHA</t>
  </si>
  <si>
    <t xml:space="preserve">PRECIO DÓLAR BCV AL </t>
  </si>
  <si>
    <t>AUTOGESTIÓN Modulos A-B-C-D</t>
  </si>
  <si>
    <t>LIMPEZA TANQUE AGUA MODULO A-B</t>
  </si>
  <si>
    <t>PAGO MANTENIMIENTO BASURA-JARDINERA</t>
  </si>
  <si>
    <t>2026-029</t>
  </si>
  <si>
    <t>B-07</t>
  </si>
  <si>
    <t>YELITZA RONDON</t>
  </si>
  <si>
    <t>Javier Herrera</t>
  </si>
  <si>
    <t>2026-030</t>
  </si>
  <si>
    <t>LUZVI PIÑA</t>
  </si>
  <si>
    <t>ABONO A DEUDA 28$</t>
  </si>
  <si>
    <t xml:space="preserve">PAGO 28$ ABONO A DEUDA PENDIENTE. </t>
  </si>
  <si>
    <t>PENDIENTE HASTA MARZO 84$</t>
  </si>
  <si>
    <t>A-15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</si>
</sst>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"/>
  </numFmts>
  <fonts count="19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Arial Black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Agency FB"/>
      <family val="2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 Narrow"/>
      <family val="2"/>
    </font>
    <font>
      <sz val="10"/>
      <color theme="1"/>
      <name val="Calibri"/>
      <family val="2"/>
      <scheme val="minor"/>
    </font>
    <font>
      <sz val="9"/>
      <color theme="1"/>
      <name val="Arial Narrow"/>
      <family val="2"/>
    </font>
    <font>
      <sz val="10"/>
      <name val="Agency FB"/>
      <family val="2"/>
    </font>
    <font>
      <i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0" borderId="1" xfId="0" applyBorder="1"/>
    <xf numFmtId="4" fontId="0" fillId="0" borderId="1" xfId="0" applyNumberFormat="1" applyBorder="1" applyAlignment="1">
      <alignment horizontal="center"/>
    </xf>
    <xf numFmtId="0" fontId="0" fillId="0" borderId="1" xfId="0" applyFill="1" applyBorder="1"/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4" fontId="0" fillId="3" borderId="1" xfId="0" applyNumberFormat="1" applyFill="1" applyBorder="1" applyAlignment="1">
      <alignment horizontal="center"/>
    </xf>
    <xf numFmtId="0" fontId="3" fillId="3" borderId="1" xfId="0" applyFont="1" applyFill="1" applyBorder="1"/>
    <xf numFmtId="1" fontId="0" fillId="3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4" fontId="0" fillId="2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5" fillId="0" borderId="3" xfId="0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/>
    </xf>
    <xf numFmtId="0" fontId="0" fillId="0" borderId="5" xfId="0" applyBorder="1"/>
    <xf numFmtId="0" fontId="7" fillId="0" borderId="0" xfId="0" applyFont="1" applyAlignment="1">
      <alignment horizontal="center"/>
    </xf>
    <xf numFmtId="0" fontId="0" fillId="0" borderId="6" xfId="0" applyBorder="1"/>
    <xf numFmtId="0" fontId="5" fillId="0" borderId="5" xfId="0" applyFont="1" applyBorder="1"/>
    <xf numFmtId="0" fontId="8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17" fontId="9" fillId="0" borderId="11" xfId="0" applyNumberFormat="1" applyFont="1" applyBorder="1"/>
    <xf numFmtId="0" fontId="9" fillId="0" borderId="7" xfId="0" applyFont="1" applyBorder="1"/>
    <xf numFmtId="0" fontId="9" fillId="0" borderId="8" xfId="0" applyFont="1" applyBorder="1"/>
    <xf numFmtId="0" fontId="8" fillId="0" borderId="1" xfId="0" applyFont="1" applyBorder="1" applyAlignment="1">
      <alignment horizontal="center"/>
    </xf>
    <xf numFmtId="0" fontId="7" fillId="0" borderId="5" xfId="0" applyFont="1" applyBorder="1" applyAlignment="1">
      <alignment horizontal="left" vertical="center" wrapText="1"/>
    </xf>
    <xf numFmtId="4" fontId="8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/>
    <xf numFmtId="14" fontId="8" fillId="0" borderId="6" xfId="0" applyNumberFormat="1" applyFont="1" applyBorder="1" applyAlignment="1">
      <alignment horizontal="center"/>
    </xf>
    <xf numFmtId="0" fontId="8" fillId="0" borderId="0" xfId="0" applyFont="1"/>
    <xf numFmtId="0" fontId="8" fillId="3" borderId="0" xfId="0" applyFont="1" applyFill="1" applyAlignment="1">
      <alignment horizontal="center"/>
    </xf>
    <xf numFmtId="0" fontId="10" fillId="0" borderId="0" xfId="0" applyFont="1"/>
    <xf numFmtId="0" fontId="0" fillId="0" borderId="11" xfId="0" applyBorder="1"/>
    <xf numFmtId="0" fontId="0" fillId="0" borderId="7" xfId="0" applyBorder="1"/>
    <xf numFmtId="0" fontId="12" fillId="0" borderId="7" xfId="0" applyFont="1" applyBorder="1" applyAlignment="1">
      <alignment horizontal="right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7" fillId="0" borderId="0" xfId="0" applyFont="1"/>
    <xf numFmtId="0" fontId="14" fillId="3" borderId="0" xfId="0" applyFont="1" applyFill="1" applyAlignment="1">
      <alignment horizontal="center" shrinkToFit="1"/>
    </xf>
    <xf numFmtId="0" fontId="15" fillId="0" borderId="0" xfId="0" applyFont="1" applyAlignment="1">
      <alignment horizontal="left"/>
    </xf>
    <xf numFmtId="14" fontId="16" fillId="0" borderId="0" xfId="0" applyNumberFormat="1" applyFont="1" applyAlignment="1">
      <alignment horizontal="left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4" fontId="0" fillId="0" borderId="0" xfId="0" applyNumberFormat="1" applyBorder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1" xfId="0" applyFont="1" applyBorder="1" applyAlignment="1">
      <alignment horizontal="center"/>
    </xf>
    <xf numFmtId="14" fontId="10" fillId="0" borderId="6" xfId="0" applyNumberFormat="1" applyFont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2" borderId="5" xfId="0" applyFill="1" applyBorder="1"/>
    <xf numFmtId="0" fontId="0" fillId="2" borderId="7" xfId="0" applyFill="1" applyBorder="1"/>
    <xf numFmtId="0" fontId="0" fillId="2" borderId="6" xfId="0" applyFill="1" applyBorder="1"/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</xdr:row>
      <xdr:rowOff>79335</xdr:rowOff>
    </xdr:from>
    <xdr:to>
      <xdr:col>1</xdr:col>
      <xdr:colOff>752475</xdr:colOff>
      <xdr:row>4</xdr:row>
      <xdr:rowOff>152018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632CA93-4F3D-4EA8-A7E5-FDA55565E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9835"/>
          <a:ext cx="1266825" cy="644183"/>
        </a:xfrm>
        <a:prstGeom prst="rect">
          <a:avLst/>
        </a:prstGeom>
      </xdr:spPr>
    </xdr:pic>
    <xdr:clientData/>
  </xdr:twoCellAnchor>
  <xdr:oneCellAnchor>
    <xdr:from>
      <xdr:col>0</xdr:col>
      <xdr:colOff>85725</xdr:colOff>
      <xdr:row>23</xdr:row>
      <xdr:rowOff>98385</xdr:rowOff>
    </xdr:from>
    <xdr:ext cx="1266825" cy="634658"/>
    <xdr:pic>
      <xdr:nvPicPr>
        <xdr:cNvPr id="5" name="Imagen 4">
          <a:extLst>
            <a:ext uri="{FF2B5EF4-FFF2-40B4-BE49-F238E27FC236}">
              <a16:creationId xmlns:a16="http://schemas.microsoft.com/office/drawing/2014/main" id="{62BE5428-136B-4D0E-A643-A7BA3E1A8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4584660"/>
          <a:ext cx="1266825" cy="634658"/>
        </a:xfrm>
        <a:prstGeom prst="rect">
          <a:avLst/>
        </a:prstGeom>
      </xdr:spPr>
    </xdr:pic>
    <xdr:clientData/>
  </xdr:oneCellAnchor>
  <xdr:twoCellAnchor editAs="oneCell">
    <xdr:from>
      <xdr:col>7</xdr:col>
      <xdr:colOff>228601</xdr:colOff>
      <xdr:row>0</xdr:row>
      <xdr:rowOff>174796</xdr:rowOff>
    </xdr:from>
    <xdr:to>
      <xdr:col>10</xdr:col>
      <xdr:colOff>495301</xdr:colOff>
      <xdr:row>19</xdr:row>
      <xdr:rowOff>11393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31E93BE-7236-4391-82B3-7A46868C0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1" y="174796"/>
          <a:ext cx="2552700" cy="3560872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228601</xdr:colOff>
      <xdr:row>23</xdr:row>
      <xdr:rowOff>3346</xdr:rowOff>
    </xdr:from>
    <xdr:to>
      <xdr:col>10</xdr:col>
      <xdr:colOff>495301</xdr:colOff>
      <xdr:row>41</xdr:row>
      <xdr:rowOff>30443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27D7A36-CF54-4E9C-9110-CCA05B7A6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1" y="4489621"/>
          <a:ext cx="2552700" cy="35608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45F7-0AC3-4346-A002-7464109AC966}">
  <sheetPr>
    <pageSetUpPr fitToPage="1"/>
  </sheetPr>
  <dimension ref="A3:I57"/>
  <sheetViews>
    <sheetView tabSelected="1" topLeftCell="A13" workbookViewId="0">
      <selection activeCell="H38" sqref="H38"/>
    </sheetView>
  </sheetViews>
  <sheetFormatPr baseColWidth="10" defaultRowHeight="15" x14ac:dyDescent="0.25"/>
  <cols>
    <col min="4" max="4" width="9.5703125" customWidth="1"/>
    <col min="5" max="5" width="26.5703125" customWidth="1"/>
    <col min="8" max="8" width="15.28515625" customWidth="1"/>
    <col min="9" max="9" width="47.5703125" customWidth="1"/>
  </cols>
  <sheetData>
    <row r="3" spans="1:9" ht="19.5" x14ac:dyDescent="0.4">
      <c r="A3" s="10" t="s">
        <v>47</v>
      </c>
      <c r="B3" s="10"/>
      <c r="C3" s="10"/>
      <c r="D3" s="10"/>
      <c r="E3" s="10"/>
      <c r="F3" s="10"/>
      <c r="G3" s="10"/>
      <c r="H3" s="10"/>
      <c r="I3" s="10"/>
    </row>
    <row r="5" spans="1:9" ht="19.5" customHeight="1" x14ac:dyDescent="0.25">
      <c r="A5" s="4" t="s">
        <v>0</v>
      </c>
      <c r="B5" s="4" t="s">
        <v>8</v>
      </c>
      <c r="C5" s="4" t="s">
        <v>5</v>
      </c>
      <c r="D5" s="4" t="s">
        <v>1</v>
      </c>
      <c r="E5" s="4" t="s">
        <v>4</v>
      </c>
      <c r="F5" s="4" t="s">
        <v>19</v>
      </c>
      <c r="G5" s="4" t="s">
        <v>20</v>
      </c>
      <c r="H5" s="4" t="s">
        <v>2</v>
      </c>
      <c r="I5" s="4" t="s">
        <v>3</v>
      </c>
    </row>
    <row r="6" spans="1:9" x14ac:dyDescent="0.25">
      <c r="A6" s="5">
        <v>46086</v>
      </c>
      <c r="B6" s="6">
        <v>427.43</v>
      </c>
      <c r="C6" s="2" t="s">
        <v>6</v>
      </c>
      <c r="D6" s="2" t="s">
        <v>7</v>
      </c>
      <c r="E6" s="7" t="s">
        <v>63</v>
      </c>
      <c r="F6" s="8">
        <v>5172.12</v>
      </c>
      <c r="G6" s="8"/>
      <c r="H6" s="2">
        <v>7625</v>
      </c>
      <c r="I6" s="7" t="s">
        <v>46</v>
      </c>
    </row>
    <row r="7" spans="1:9" x14ac:dyDescent="0.25">
      <c r="A7" s="5">
        <v>46086</v>
      </c>
      <c r="B7" s="2">
        <v>427.43</v>
      </c>
      <c r="C7" s="2" t="s">
        <v>9</v>
      </c>
      <c r="D7" s="2" t="s">
        <v>12</v>
      </c>
      <c r="E7" s="7" t="s">
        <v>45</v>
      </c>
      <c r="F7" s="8">
        <v>3851.37</v>
      </c>
      <c r="G7" s="8"/>
      <c r="H7" s="2">
        <v>6313</v>
      </c>
      <c r="I7" s="7" t="s">
        <v>40</v>
      </c>
    </row>
    <row r="8" spans="1:9" x14ac:dyDescent="0.25">
      <c r="A8" s="5">
        <v>46086</v>
      </c>
      <c r="B8" s="2">
        <v>427.43</v>
      </c>
      <c r="C8" s="2" t="s">
        <v>10</v>
      </c>
      <c r="D8" s="2" t="s">
        <v>11</v>
      </c>
      <c r="E8" s="7" t="s">
        <v>64</v>
      </c>
      <c r="F8" s="8">
        <v>2570</v>
      </c>
      <c r="G8" s="8"/>
      <c r="H8" s="2" t="s">
        <v>13</v>
      </c>
      <c r="I8" s="7" t="s">
        <v>65</v>
      </c>
    </row>
    <row r="9" spans="1:9" x14ac:dyDescent="0.25">
      <c r="A9" s="5">
        <v>46087</v>
      </c>
      <c r="B9" s="2">
        <v>431.01</v>
      </c>
      <c r="C9" s="2" t="s">
        <v>14</v>
      </c>
      <c r="D9" s="2" t="s">
        <v>16</v>
      </c>
      <c r="E9" s="7" t="s">
        <v>66</v>
      </c>
      <c r="F9" s="8">
        <v>7758.18</v>
      </c>
      <c r="G9" s="8"/>
      <c r="H9" s="2">
        <v>4502</v>
      </c>
      <c r="I9" s="7" t="s">
        <v>44</v>
      </c>
    </row>
    <row r="10" spans="1:9" x14ac:dyDescent="0.25">
      <c r="A10" s="5">
        <v>46087</v>
      </c>
      <c r="B10" s="2">
        <v>431.01</v>
      </c>
      <c r="C10" s="2" t="s">
        <v>15</v>
      </c>
      <c r="D10" s="2" t="s">
        <v>17</v>
      </c>
      <c r="E10" s="7" t="s">
        <v>67</v>
      </c>
      <c r="F10" s="8">
        <v>2586</v>
      </c>
      <c r="G10" s="8"/>
      <c r="H10" s="2">
        <v>4942</v>
      </c>
      <c r="I10" s="7" t="s">
        <v>43</v>
      </c>
    </row>
    <row r="11" spans="1:9" x14ac:dyDescent="0.25">
      <c r="A11" s="5">
        <v>46087</v>
      </c>
      <c r="B11" s="2">
        <v>431.01</v>
      </c>
      <c r="C11" s="11"/>
      <c r="D11" s="11"/>
      <c r="E11" s="14" t="s">
        <v>61</v>
      </c>
      <c r="F11" s="13">
        <v>9492.76</v>
      </c>
      <c r="G11" s="13"/>
      <c r="H11" s="11"/>
      <c r="I11" s="12"/>
    </row>
    <row r="12" spans="1:9" x14ac:dyDescent="0.25">
      <c r="A12" s="5">
        <v>46088</v>
      </c>
      <c r="B12" s="2">
        <v>431.01</v>
      </c>
      <c r="C12" s="2" t="s">
        <v>29</v>
      </c>
      <c r="D12" s="2" t="s">
        <v>18</v>
      </c>
      <c r="E12" s="7" t="s">
        <v>57</v>
      </c>
      <c r="F12" s="8">
        <v>2586.0700000000002</v>
      </c>
      <c r="G12" s="8"/>
      <c r="H12" s="2">
        <v>6549</v>
      </c>
      <c r="I12" s="7" t="s">
        <v>43</v>
      </c>
    </row>
    <row r="13" spans="1:9" x14ac:dyDescent="0.25">
      <c r="A13" s="5">
        <v>46088</v>
      </c>
      <c r="B13" s="2">
        <v>431.01</v>
      </c>
      <c r="C13" s="11"/>
      <c r="D13" s="11"/>
      <c r="E13" s="14" t="s">
        <v>61</v>
      </c>
      <c r="F13" s="13"/>
      <c r="G13" s="15">
        <v>20</v>
      </c>
      <c r="H13" s="11"/>
      <c r="I13" s="12"/>
    </row>
    <row r="14" spans="1:9" x14ac:dyDescent="0.25">
      <c r="A14" s="5">
        <v>46088</v>
      </c>
      <c r="B14" s="2">
        <v>431.01</v>
      </c>
      <c r="C14" s="2" t="s">
        <v>30</v>
      </c>
      <c r="D14" s="2" t="s">
        <v>21</v>
      </c>
      <c r="E14" s="7" t="s">
        <v>22</v>
      </c>
      <c r="F14" s="8">
        <v>2586.06</v>
      </c>
      <c r="G14" s="8"/>
      <c r="H14" s="2">
        <v>2387</v>
      </c>
      <c r="I14" s="7" t="s">
        <v>27</v>
      </c>
    </row>
    <row r="15" spans="1:9" x14ac:dyDescent="0.25">
      <c r="A15" s="5">
        <v>46088</v>
      </c>
      <c r="B15" s="2">
        <v>431.01</v>
      </c>
      <c r="C15" s="2" t="s">
        <v>31</v>
      </c>
      <c r="D15" s="2" t="s">
        <v>23</v>
      </c>
      <c r="E15" s="7" t="s">
        <v>41</v>
      </c>
      <c r="F15" s="8">
        <v>6465.15</v>
      </c>
      <c r="G15" s="8"/>
      <c r="H15" s="2">
        <v>9039</v>
      </c>
      <c r="I15" s="7" t="s">
        <v>42</v>
      </c>
    </row>
    <row r="16" spans="1:9" x14ac:dyDescent="0.25">
      <c r="A16" s="5">
        <v>46088</v>
      </c>
      <c r="B16" s="2">
        <v>431.01</v>
      </c>
      <c r="C16" s="2" t="s">
        <v>32</v>
      </c>
      <c r="D16" s="2" t="s">
        <v>24</v>
      </c>
      <c r="E16" s="7" t="s">
        <v>39</v>
      </c>
      <c r="F16" s="8">
        <v>3879.1</v>
      </c>
      <c r="G16" s="8"/>
      <c r="H16" s="2">
        <v>2866</v>
      </c>
      <c r="I16" s="7" t="s">
        <v>40</v>
      </c>
    </row>
    <row r="17" spans="1:9" x14ac:dyDescent="0.25">
      <c r="A17" s="5">
        <v>46089</v>
      </c>
      <c r="B17" s="2">
        <v>431.01</v>
      </c>
      <c r="C17" s="2" t="s">
        <v>33</v>
      </c>
      <c r="D17" s="2" t="s">
        <v>25</v>
      </c>
      <c r="E17" s="7" t="s">
        <v>26</v>
      </c>
      <c r="F17" s="8">
        <v>6896.18</v>
      </c>
      <c r="G17" s="8"/>
      <c r="H17" s="2">
        <v>9909</v>
      </c>
      <c r="I17" s="7" t="s">
        <v>28</v>
      </c>
    </row>
    <row r="18" spans="1:9" x14ac:dyDescent="0.25">
      <c r="A18" s="5">
        <v>46089</v>
      </c>
      <c r="B18" s="2">
        <v>431.01</v>
      </c>
      <c r="C18" s="2" t="s">
        <v>34</v>
      </c>
      <c r="D18" s="2" t="s">
        <v>37</v>
      </c>
      <c r="E18" s="7" t="s">
        <v>38</v>
      </c>
      <c r="F18" s="8" t="s">
        <v>68</v>
      </c>
      <c r="G18" s="8"/>
      <c r="H18" s="2"/>
      <c r="I18" s="7" t="s">
        <v>28</v>
      </c>
    </row>
    <row r="19" spans="1:9" x14ac:dyDescent="0.25">
      <c r="A19" s="5">
        <v>46090</v>
      </c>
      <c r="B19" s="2">
        <v>433.16</v>
      </c>
      <c r="C19" s="2" t="s">
        <v>35</v>
      </c>
      <c r="D19" s="2" t="s">
        <v>69</v>
      </c>
      <c r="E19" s="7" t="s">
        <v>70</v>
      </c>
      <c r="F19" s="8">
        <v>1300</v>
      </c>
      <c r="G19" s="8"/>
      <c r="H19" s="2"/>
      <c r="I19" s="7" t="s">
        <v>56</v>
      </c>
    </row>
    <row r="20" spans="1:9" x14ac:dyDescent="0.25">
      <c r="A20" s="5">
        <v>46091</v>
      </c>
      <c r="B20" s="2">
        <v>436.24</v>
      </c>
      <c r="C20" s="2" t="s">
        <v>36</v>
      </c>
      <c r="D20" s="2" t="s">
        <v>50</v>
      </c>
      <c r="E20" s="7" t="s">
        <v>74</v>
      </c>
      <c r="F20" s="8">
        <v>5234.8999999999996</v>
      </c>
      <c r="G20" s="8"/>
      <c r="H20" s="2">
        <v>53276</v>
      </c>
      <c r="I20" s="9" t="s">
        <v>46</v>
      </c>
    </row>
    <row r="21" spans="1:9" x14ac:dyDescent="0.25">
      <c r="A21" s="5">
        <v>46091</v>
      </c>
      <c r="B21" s="2">
        <v>436.24</v>
      </c>
      <c r="C21" s="2" t="s">
        <v>49</v>
      </c>
      <c r="D21" s="2" t="s">
        <v>52</v>
      </c>
      <c r="E21" s="7" t="s">
        <v>53</v>
      </c>
      <c r="F21" s="8">
        <v>6979.87</v>
      </c>
      <c r="G21" s="8"/>
      <c r="H21" s="2">
        <v>36583</v>
      </c>
      <c r="I21" s="7" t="s">
        <v>28</v>
      </c>
    </row>
    <row r="22" spans="1:9" x14ac:dyDescent="0.25">
      <c r="A22" s="5">
        <v>46091</v>
      </c>
      <c r="B22" s="2">
        <v>436.24</v>
      </c>
      <c r="C22" s="2" t="s">
        <v>51</v>
      </c>
      <c r="D22" s="2" t="s">
        <v>55</v>
      </c>
      <c r="E22" s="7" t="s">
        <v>75</v>
      </c>
      <c r="F22" s="8">
        <v>1308.73</v>
      </c>
      <c r="G22" s="8"/>
      <c r="H22" s="2">
        <v>97955</v>
      </c>
      <c r="I22" s="7" t="s">
        <v>56</v>
      </c>
    </row>
    <row r="23" spans="1:9" x14ac:dyDescent="0.25">
      <c r="A23" s="5">
        <v>46091</v>
      </c>
      <c r="B23" s="2">
        <v>436.24</v>
      </c>
      <c r="C23" s="2" t="s">
        <v>54</v>
      </c>
      <c r="D23" s="2" t="s">
        <v>77</v>
      </c>
      <c r="E23" s="7" t="s">
        <v>78</v>
      </c>
      <c r="F23" s="8">
        <v>6543.63</v>
      </c>
      <c r="G23" s="8"/>
      <c r="H23" s="2"/>
      <c r="I23" s="7" t="s">
        <v>42</v>
      </c>
    </row>
    <row r="24" spans="1:9" x14ac:dyDescent="0.25">
      <c r="A24" s="5">
        <v>46091</v>
      </c>
      <c r="B24" s="2">
        <v>436.24</v>
      </c>
      <c r="C24" s="2" t="s">
        <v>76</v>
      </c>
      <c r="D24" s="2" t="s">
        <v>79</v>
      </c>
      <c r="E24" s="7" t="s">
        <v>80</v>
      </c>
      <c r="F24" s="8">
        <v>2617.4499999999998</v>
      </c>
      <c r="G24" s="8"/>
      <c r="H24" s="2"/>
      <c r="I24" s="7" t="s">
        <v>27</v>
      </c>
    </row>
    <row r="25" spans="1:9" x14ac:dyDescent="0.25">
      <c r="A25" s="5">
        <v>46091</v>
      </c>
      <c r="B25" s="2">
        <v>436.24</v>
      </c>
      <c r="C25" s="11"/>
      <c r="D25" s="11"/>
      <c r="E25" s="14" t="s">
        <v>62</v>
      </c>
      <c r="F25" s="13">
        <v>38700</v>
      </c>
      <c r="G25" s="13"/>
      <c r="H25" s="11">
        <v>3713392</v>
      </c>
      <c r="I25" s="12"/>
    </row>
    <row r="26" spans="1:9" x14ac:dyDescent="0.25">
      <c r="A26" s="5">
        <v>46092</v>
      </c>
      <c r="B26" s="2">
        <v>438.2</v>
      </c>
      <c r="C26" s="2" t="s">
        <v>81</v>
      </c>
      <c r="D26" s="2" t="s">
        <v>82</v>
      </c>
      <c r="E26" s="7" t="s">
        <v>83</v>
      </c>
      <c r="F26" s="8">
        <v>5234.88</v>
      </c>
      <c r="G26" s="8"/>
      <c r="H26" s="2"/>
      <c r="I26" s="9" t="s">
        <v>46</v>
      </c>
    </row>
    <row r="27" spans="1:9" x14ac:dyDescent="0.25">
      <c r="A27" s="5">
        <v>46092</v>
      </c>
      <c r="B27" s="2">
        <v>438.2</v>
      </c>
      <c r="C27" s="2" t="s">
        <v>84</v>
      </c>
      <c r="D27" s="2" t="s">
        <v>58</v>
      </c>
      <c r="E27" s="7" t="s">
        <v>59</v>
      </c>
      <c r="F27" s="8">
        <v>5236</v>
      </c>
      <c r="G27" s="8"/>
      <c r="H27" s="2">
        <v>96932</v>
      </c>
      <c r="I27" s="7" t="s">
        <v>60</v>
      </c>
    </row>
    <row r="28" spans="1:9" x14ac:dyDescent="0.25">
      <c r="A28" s="5">
        <v>46092</v>
      </c>
      <c r="B28" s="2">
        <v>438.2</v>
      </c>
      <c r="C28" s="2" t="s">
        <v>85</v>
      </c>
      <c r="D28" s="2" t="s">
        <v>86</v>
      </c>
      <c r="E28" s="7" t="s">
        <v>87</v>
      </c>
      <c r="F28" s="8">
        <v>3943.85</v>
      </c>
      <c r="G28" s="8"/>
      <c r="H28" s="2"/>
      <c r="I28" s="7" t="s">
        <v>40</v>
      </c>
    </row>
    <row r="29" spans="1:9" x14ac:dyDescent="0.25">
      <c r="A29" s="5">
        <v>46092</v>
      </c>
      <c r="B29" s="2">
        <v>438.2</v>
      </c>
      <c r="C29" s="2" t="s">
        <v>88</v>
      </c>
      <c r="D29" s="2" t="s">
        <v>89</v>
      </c>
      <c r="E29" s="7" t="s">
        <v>90</v>
      </c>
      <c r="F29" s="8">
        <v>7887.6</v>
      </c>
      <c r="G29" s="8"/>
      <c r="H29" s="2"/>
      <c r="I29" s="7" t="s">
        <v>91</v>
      </c>
    </row>
    <row r="30" spans="1:9" x14ac:dyDescent="0.25">
      <c r="A30" s="5">
        <v>46092</v>
      </c>
      <c r="B30" s="2">
        <v>438.2</v>
      </c>
      <c r="C30" s="2" t="s">
        <v>92</v>
      </c>
      <c r="D30" s="2" t="s">
        <v>93</v>
      </c>
      <c r="E30" s="7" t="s">
        <v>94</v>
      </c>
      <c r="F30" s="8">
        <v>2600</v>
      </c>
      <c r="G30" s="8"/>
      <c r="H30" s="2"/>
      <c r="I30" s="7" t="s">
        <v>95</v>
      </c>
    </row>
    <row r="31" spans="1:9" x14ac:dyDescent="0.25">
      <c r="A31" s="5">
        <v>46092</v>
      </c>
      <c r="B31" s="2">
        <v>438.2</v>
      </c>
      <c r="C31" s="2" t="s">
        <v>96</v>
      </c>
      <c r="D31" s="2" t="s">
        <v>100</v>
      </c>
      <c r="E31" s="7" t="s">
        <v>101</v>
      </c>
      <c r="F31" s="8">
        <v>2630</v>
      </c>
      <c r="G31" s="8"/>
      <c r="H31" s="2"/>
      <c r="I31" s="7" t="s">
        <v>27</v>
      </c>
    </row>
    <row r="32" spans="1:9" x14ac:dyDescent="0.25">
      <c r="A32" s="5">
        <v>46092</v>
      </c>
      <c r="B32" s="2">
        <v>438.2</v>
      </c>
      <c r="C32" s="2" t="s">
        <v>97</v>
      </c>
      <c r="D32" s="2" t="s">
        <v>102</v>
      </c>
      <c r="E32" s="7" t="s">
        <v>103</v>
      </c>
      <c r="F32" s="8">
        <v>3943.85</v>
      </c>
      <c r="G32" s="8"/>
      <c r="H32" s="2"/>
      <c r="I32" s="7" t="s">
        <v>40</v>
      </c>
    </row>
    <row r="33" spans="1:9" x14ac:dyDescent="0.25">
      <c r="A33" s="5">
        <v>46092</v>
      </c>
      <c r="B33" s="2">
        <v>438.2</v>
      </c>
      <c r="C33" s="2" t="s">
        <v>98</v>
      </c>
      <c r="D33" s="2" t="s">
        <v>104</v>
      </c>
      <c r="E33" s="7" t="s">
        <v>105</v>
      </c>
      <c r="F33" s="8">
        <v>500</v>
      </c>
      <c r="G33" s="8">
        <v>11</v>
      </c>
      <c r="H33" s="2"/>
      <c r="I33" s="7" t="s">
        <v>106</v>
      </c>
    </row>
    <row r="34" spans="1:9" x14ac:dyDescent="0.25">
      <c r="A34" s="5">
        <v>46092</v>
      </c>
      <c r="B34" s="2">
        <v>438.2</v>
      </c>
      <c r="C34" s="2" t="s">
        <v>99</v>
      </c>
      <c r="D34" s="2" t="s">
        <v>107</v>
      </c>
      <c r="E34" s="7" t="s">
        <v>108</v>
      </c>
      <c r="F34" s="8">
        <v>11396.33</v>
      </c>
      <c r="G34" s="8"/>
      <c r="H34" s="2"/>
      <c r="I34" s="7"/>
    </row>
    <row r="35" spans="1:9" x14ac:dyDescent="0.25">
      <c r="A35" s="5">
        <v>46092</v>
      </c>
      <c r="B35" s="2">
        <v>438.2</v>
      </c>
      <c r="C35" s="2" t="s">
        <v>109</v>
      </c>
      <c r="D35" s="2" t="s">
        <v>111</v>
      </c>
      <c r="E35" s="7" t="s">
        <v>112</v>
      </c>
      <c r="F35" s="8">
        <v>9202.41</v>
      </c>
      <c r="G35" s="8"/>
      <c r="H35" s="2"/>
      <c r="I35" s="7" t="s">
        <v>113</v>
      </c>
    </row>
    <row r="36" spans="1:9" x14ac:dyDescent="0.25">
      <c r="A36" s="5">
        <v>46092</v>
      </c>
      <c r="B36" s="2">
        <v>438.2</v>
      </c>
      <c r="C36" s="2" t="s">
        <v>110</v>
      </c>
      <c r="D36" s="2" t="s">
        <v>114</v>
      </c>
      <c r="E36" s="7" t="s">
        <v>115</v>
      </c>
      <c r="F36" s="8">
        <v>17966.41</v>
      </c>
      <c r="G36" s="8"/>
      <c r="H36" s="2"/>
      <c r="I36" s="7" t="s">
        <v>116</v>
      </c>
    </row>
    <row r="37" spans="1:9" x14ac:dyDescent="0.25">
      <c r="A37" s="5">
        <v>46093</v>
      </c>
      <c r="B37" s="2">
        <v>440.96</v>
      </c>
      <c r="C37" s="2" t="s">
        <v>134</v>
      </c>
      <c r="D37" s="2" t="s">
        <v>135</v>
      </c>
      <c r="E37" s="7" t="s">
        <v>136</v>
      </c>
      <c r="F37" s="8">
        <v>2646</v>
      </c>
      <c r="G37" s="8"/>
      <c r="H37" s="2">
        <v>95788</v>
      </c>
      <c r="I37" s="7" t="s">
        <v>27</v>
      </c>
    </row>
    <row r="38" spans="1:9" x14ac:dyDescent="0.25">
      <c r="A38" s="5">
        <v>46093</v>
      </c>
      <c r="B38" s="2">
        <v>440.96</v>
      </c>
      <c r="C38" s="2" t="s">
        <v>138</v>
      </c>
      <c r="D38" s="2" t="s">
        <v>143</v>
      </c>
      <c r="E38" s="7" t="s">
        <v>139</v>
      </c>
      <c r="F38" s="8">
        <v>12600</v>
      </c>
      <c r="G38" s="8"/>
      <c r="H38" s="2">
        <v>85455</v>
      </c>
      <c r="I38" s="7" t="s">
        <v>140</v>
      </c>
    </row>
    <row r="39" spans="1:9" x14ac:dyDescent="0.25">
      <c r="A39" s="7"/>
      <c r="B39" s="2"/>
      <c r="C39" s="2"/>
      <c r="D39" s="2"/>
      <c r="E39" s="7"/>
      <c r="F39" s="8"/>
      <c r="G39" s="8"/>
      <c r="H39" s="2"/>
      <c r="I39" s="7"/>
    </row>
    <row r="40" spans="1:9" x14ac:dyDescent="0.25">
      <c r="A40" s="7"/>
      <c r="B40" s="2"/>
      <c r="C40" s="2"/>
      <c r="D40" s="2"/>
      <c r="E40" s="7"/>
      <c r="F40" s="8"/>
      <c r="G40" s="8"/>
      <c r="H40" s="2"/>
      <c r="I40" s="7"/>
    </row>
    <row r="41" spans="1:9" x14ac:dyDescent="0.25">
      <c r="A41" s="7"/>
      <c r="B41" s="2"/>
      <c r="C41" s="2"/>
      <c r="D41" s="2"/>
      <c r="E41" s="7"/>
      <c r="F41" s="8"/>
      <c r="G41" s="8"/>
      <c r="H41" s="2"/>
      <c r="I41" s="7"/>
    </row>
    <row r="42" spans="1:9" x14ac:dyDescent="0.25">
      <c r="A42" s="7"/>
      <c r="B42" s="2"/>
      <c r="C42" s="2"/>
      <c r="D42" s="2"/>
      <c r="E42" s="7"/>
      <c r="F42" s="8"/>
      <c r="G42" s="8"/>
      <c r="H42" s="2"/>
      <c r="I42" s="7"/>
    </row>
    <row r="43" spans="1:9" x14ac:dyDescent="0.25">
      <c r="A43" s="7"/>
      <c r="B43" s="2"/>
      <c r="C43" s="2"/>
      <c r="D43" s="2"/>
      <c r="E43" s="7"/>
      <c r="F43" s="8"/>
      <c r="G43" s="8"/>
      <c r="H43" s="2"/>
      <c r="I43" s="7"/>
    </row>
    <row r="44" spans="1:9" x14ac:dyDescent="0.25">
      <c r="A44" s="7"/>
      <c r="B44" s="2"/>
      <c r="C44" s="2"/>
      <c r="D44" s="2"/>
      <c r="E44" s="7"/>
      <c r="F44" s="8"/>
      <c r="G44" s="8"/>
      <c r="H44" s="2"/>
      <c r="I44" s="7"/>
    </row>
    <row r="45" spans="1:9" x14ac:dyDescent="0.25">
      <c r="A45" s="64"/>
      <c r="B45" s="65"/>
      <c r="C45" s="65"/>
      <c r="D45" s="65"/>
      <c r="E45" s="64"/>
      <c r="F45" s="66"/>
      <c r="G45" s="66"/>
      <c r="H45" s="65"/>
      <c r="I45" s="64"/>
    </row>
    <row r="46" spans="1:9" x14ac:dyDescent="0.25">
      <c r="B46" s="1"/>
      <c r="C46" s="1"/>
      <c r="D46" s="1"/>
      <c r="F46" s="3"/>
      <c r="G46" s="3"/>
      <c r="H46" s="1"/>
    </row>
    <row r="47" spans="1:9" x14ac:dyDescent="0.25">
      <c r="B47" s="1"/>
      <c r="C47" s="1"/>
      <c r="D47" s="1"/>
      <c r="E47" s="16" t="s">
        <v>48</v>
      </c>
      <c r="F47" s="17">
        <f>SUM(F6:F46)</f>
        <v>202314.9</v>
      </c>
      <c r="G47" s="17">
        <f>SUM(G6:G18)</f>
        <v>20</v>
      </c>
      <c r="H47" s="1"/>
    </row>
    <row r="48" spans="1:9" x14ac:dyDescent="0.25">
      <c r="A48" s="18" t="s">
        <v>71</v>
      </c>
      <c r="B48" s="18"/>
      <c r="C48" s="1"/>
      <c r="D48" s="1"/>
      <c r="F48" s="3"/>
      <c r="G48" s="3"/>
      <c r="H48" s="1"/>
    </row>
    <row r="49" spans="1:8" x14ac:dyDescent="0.25">
      <c r="A49" s="19">
        <v>46091</v>
      </c>
      <c r="B49" s="1">
        <v>436.24</v>
      </c>
      <c r="C49" s="63" t="s">
        <v>72</v>
      </c>
      <c r="D49" s="63"/>
      <c r="E49" s="63"/>
      <c r="F49" s="3">
        <v>-19500</v>
      </c>
      <c r="G49" s="3"/>
      <c r="H49" s="1"/>
    </row>
    <row r="50" spans="1:8" x14ac:dyDescent="0.25">
      <c r="A50" s="19">
        <v>46093</v>
      </c>
      <c r="B50" s="1">
        <v>440.96</v>
      </c>
      <c r="C50" s="63" t="s">
        <v>132</v>
      </c>
      <c r="D50" s="63"/>
      <c r="E50" s="63"/>
      <c r="F50" s="3">
        <v>-56154</v>
      </c>
      <c r="G50" s="3"/>
      <c r="H50" s="1"/>
    </row>
    <row r="51" spans="1:8" x14ac:dyDescent="0.25">
      <c r="A51" s="19">
        <v>46093</v>
      </c>
      <c r="B51" s="1">
        <v>440.96</v>
      </c>
      <c r="C51" s="63" t="s">
        <v>133</v>
      </c>
      <c r="D51" s="63"/>
      <c r="E51" s="63"/>
      <c r="F51" s="3">
        <v>-22163</v>
      </c>
      <c r="G51" s="3"/>
      <c r="H51" s="1"/>
    </row>
    <row r="52" spans="1:8" x14ac:dyDescent="0.25">
      <c r="B52" s="1"/>
      <c r="C52" s="1"/>
      <c r="D52" s="20"/>
      <c r="E52" s="20"/>
      <c r="F52" s="3"/>
      <c r="G52" s="3"/>
      <c r="H52" s="1"/>
    </row>
    <row r="53" spans="1:8" x14ac:dyDescent="0.25">
      <c r="B53" s="1"/>
      <c r="C53" s="1"/>
      <c r="D53" s="20"/>
      <c r="E53" s="20"/>
      <c r="F53" s="3"/>
      <c r="G53" s="3"/>
      <c r="H53" s="1"/>
    </row>
    <row r="54" spans="1:8" x14ac:dyDescent="0.25">
      <c r="B54" s="1"/>
      <c r="F54" s="3"/>
      <c r="G54" s="3"/>
      <c r="H54" s="1"/>
    </row>
    <row r="55" spans="1:8" x14ac:dyDescent="0.25">
      <c r="B55" s="1"/>
      <c r="E55" s="22" t="s">
        <v>73</v>
      </c>
      <c r="F55" s="17">
        <f>SUM(F47:F54)</f>
        <v>104497.9</v>
      </c>
      <c r="G55" s="17">
        <f>SUM(G47:G54)</f>
        <v>20</v>
      </c>
      <c r="H55" s="1"/>
    </row>
    <row r="56" spans="1:8" x14ac:dyDescent="0.25">
      <c r="B56" s="1"/>
      <c r="F56" s="3"/>
      <c r="G56" s="3"/>
    </row>
    <row r="57" spans="1:8" x14ac:dyDescent="0.25">
      <c r="B57" s="1"/>
    </row>
  </sheetData>
  <mergeCells count="7">
    <mergeCell ref="D52:E52"/>
    <mergeCell ref="D53:E53"/>
    <mergeCell ref="C49:E49"/>
    <mergeCell ref="C50:E50"/>
    <mergeCell ref="C51:E51"/>
    <mergeCell ref="A3:I3"/>
    <mergeCell ref="A48:B48"/>
  </mergeCells>
  <phoneticPr fontId="4" type="noConversion"/>
  <pageMargins left="0.31496062992125984" right="0.31496062992125984" top="0.35433070866141736" bottom="0.35433070866141736" header="0.31496062992125984" footer="0.31496062992125984"/>
  <pageSetup scale="6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A8B6-FF46-46A1-A55E-D7B6C4138003}">
  <sheetPr>
    <pageSetUpPr fitToPage="1"/>
  </sheetPr>
  <dimension ref="A2:G43"/>
  <sheetViews>
    <sheetView topLeftCell="A7" workbookViewId="0">
      <selection activeCell="E23" sqref="E23"/>
    </sheetView>
  </sheetViews>
  <sheetFormatPr baseColWidth="10" defaultRowHeight="15" x14ac:dyDescent="0.25"/>
  <sheetData>
    <row r="2" spans="1:7" ht="15.75" thickBot="1" x14ac:dyDescent="0.3">
      <c r="A2" s="23"/>
      <c r="B2" s="24"/>
      <c r="C2" s="25" t="s">
        <v>117</v>
      </c>
      <c r="D2" s="25"/>
      <c r="E2" s="25"/>
      <c r="F2" s="24" t="s">
        <v>118</v>
      </c>
      <c r="G2" s="26" t="s">
        <v>138</v>
      </c>
    </row>
    <row r="3" spans="1:7" x14ac:dyDescent="0.25">
      <c r="A3" s="27"/>
      <c r="D3" s="28" t="s">
        <v>131</v>
      </c>
      <c r="E3" s="28"/>
      <c r="G3" s="29"/>
    </row>
    <row r="4" spans="1:7" x14ac:dyDescent="0.25">
      <c r="A4" s="27"/>
      <c r="G4" s="29"/>
    </row>
    <row r="5" spans="1:7" x14ac:dyDescent="0.25">
      <c r="A5" s="27"/>
      <c r="G5" s="29"/>
    </row>
    <row r="6" spans="1:7" x14ac:dyDescent="0.25">
      <c r="A6" s="30" t="s">
        <v>4</v>
      </c>
      <c r="B6" s="31" t="s">
        <v>139</v>
      </c>
      <c r="C6" s="31"/>
      <c r="D6" s="31"/>
      <c r="E6" s="31"/>
      <c r="F6" s="31"/>
      <c r="G6" s="32"/>
    </row>
    <row r="7" spans="1:7" x14ac:dyDescent="0.25">
      <c r="A7" s="30" t="s">
        <v>3</v>
      </c>
      <c r="B7" s="33" t="s">
        <v>141</v>
      </c>
      <c r="C7" s="33"/>
      <c r="D7" s="33"/>
      <c r="E7" s="33"/>
      <c r="F7" s="33"/>
      <c r="G7" s="34"/>
    </row>
    <row r="8" spans="1:7" x14ac:dyDescent="0.25">
      <c r="A8" s="35"/>
      <c r="B8" s="36"/>
      <c r="C8" s="36"/>
      <c r="D8" s="36"/>
      <c r="E8" s="36"/>
      <c r="F8" s="36"/>
      <c r="G8" s="37"/>
    </row>
    <row r="9" spans="1:7" x14ac:dyDescent="0.25">
      <c r="A9" s="27"/>
      <c r="G9" s="29"/>
    </row>
    <row r="10" spans="1:7" x14ac:dyDescent="0.25">
      <c r="A10" s="60"/>
      <c r="B10" s="61"/>
      <c r="C10" s="61"/>
      <c r="D10" s="61"/>
      <c r="E10" s="61"/>
      <c r="F10" s="61"/>
      <c r="G10" s="62"/>
    </row>
    <row r="11" spans="1:7" x14ac:dyDescent="0.25">
      <c r="A11" s="30" t="s">
        <v>120</v>
      </c>
      <c r="B11" s="38" t="s">
        <v>143</v>
      </c>
      <c r="C11" s="38"/>
      <c r="G11" s="29"/>
    </row>
    <row r="12" spans="1:7" ht="22.5" x14ac:dyDescent="0.25">
      <c r="A12" s="39" t="s">
        <v>121</v>
      </c>
      <c r="B12" s="38" t="s">
        <v>122</v>
      </c>
      <c r="C12" s="38"/>
      <c r="G12" s="29"/>
    </row>
    <row r="13" spans="1:7" x14ac:dyDescent="0.25">
      <c r="A13" s="27"/>
      <c r="G13" s="29"/>
    </row>
    <row r="14" spans="1:7" x14ac:dyDescent="0.25">
      <c r="A14" s="30" t="s">
        <v>123</v>
      </c>
      <c r="B14" s="40">
        <v>12600</v>
      </c>
      <c r="C14" s="40"/>
      <c r="D14" s="40"/>
      <c r="E14" s="41"/>
      <c r="F14" s="42" t="s">
        <v>124</v>
      </c>
      <c r="G14" s="43">
        <v>46093</v>
      </c>
    </row>
    <row r="15" spans="1:7" x14ac:dyDescent="0.25">
      <c r="A15" s="30" t="s">
        <v>125</v>
      </c>
      <c r="B15" s="44"/>
      <c r="C15" s="45" t="s">
        <v>126</v>
      </c>
      <c r="D15" s="45"/>
      <c r="E15" s="46"/>
      <c r="G15" s="29"/>
    </row>
    <row r="16" spans="1:7" x14ac:dyDescent="0.25">
      <c r="A16" s="30" t="s">
        <v>2</v>
      </c>
      <c r="B16" s="44"/>
      <c r="C16" s="45">
        <v>85455</v>
      </c>
      <c r="D16" s="45"/>
      <c r="E16" s="46"/>
      <c r="G16" s="29"/>
    </row>
    <row r="17" spans="1:7" x14ac:dyDescent="0.25">
      <c r="A17" s="47"/>
      <c r="B17" s="48"/>
      <c r="C17" s="48"/>
      <c r="E17" s="49" t="s">
        <v>127</v>
      </c>
      <c r="F17" s="50" t="s">
        <v>137</v>
      </c>
      <c r="G17" s="51"/>
    </row>
    <row r="18" spans="1:7" x14ac:dyDescent="0.25">
      <c r="A18" s="52" t="s">
        <v>128</v>
      </c>
      <c r="B18" s="52"/>
      <c r="C18" s="52"/>
      <c r="D18" s="52"/>
      <c r="E18" s="52"/>
      <c r="F18" s="52"/>
      <c r="G18" s="52"/>
    </row>
    <row r="19" spans="1:7" x14ac:dyDescent="0.25">
      <c r="A19" s="53" t="s">
        <v>129</v>
      </c>
      <c r="B19" s="53"/>
      <c r="C19" s="54" t="s">
        <v>142</v>
      </c>
      <c r="D19" s="54"/>
      <c r="E19" s="54"/>
      <c r="F19" s="54"/>
      <c r="G19" s="54"/>
    </row>
    <row r="20" spans="1:7" x14ac:dyDescent="0.25">
      <c r="A20" s="55" t="s">
        <v>130</v>
      </c>
      <c r="B20" s="55"/>
      <c r="C20" s="56">
        <f>G14</f>
        <v>46093</v>
      </c>
      <c r="D20" s="57">
        <v>440.96</v>
      </c>
      <c r="E20" s="58"/>
      <c r="F20" s="58"/>
      <c r="G20" s="58"/>
    </row>
    <row r="21" spans="1:7" x14ac:dyDescent="0.25">
      <c r="A21" s="59"/>
      <c r="B21" s="59"/>
      <c r="C21" s="56"/>
      <c r="D21" s="57"/>
      <c r="E21" s="58"/>
      <c r="F21" s="58"/>
      <c r="G21" s="58"/>
    </row>
    <row r="22" spans="1:7" x14ac:dyDescent="0.25">
      <c r="A22" s="59"/>
      <c r="B22" s="59"/>
      <c r="C22" s="56"/>
      <c r="D22" s="57"/>
      <c r="E22" s="58"/>
      <c r="F22" s="58"/>
      <c r="G22" s="58"/>
    </row>
    <row r="24" spans="1:7" ht="15.75" thickBot="1" x14ac:dyDescent="0.3">
      <c r="A24" s="23"/>
      <c r="B24" s="24"/>
      <c r="C24" s="25" t="s">
        <v>117</v>
      </c>
      <c r="D24" s="25"/>
      <c r="E24" s="25"/>
      <c r="F24" s="24" t="s">
        <v>118</v>
      </c>
      <c r="G24" s="26" t="str">
        <f>G2</f>
        <v>2026-030</v>
      </c>
    </row>
    <row r="25" spans="1:7" x14ac:dyDescent="0.25">
      <c r="A25" s="27"/>
      <c r="D25" s="28" t="s">
        <v>119</v>
      </c>
      <c r="E25" s="28"/>
      <c r="G25" s="29"/>
    </row>
    <row r="26" spans="1:7" x14ac:dyDescent="0.25">
      <c r="A26" s="27"/>
      <c r="G26" s="29"/>
    </row>
    <row r="27" spans="1:7" x14ac:dyDescent="0.25">
      <c r="A27" s="27"/>
      <c r="G27" s="29"/>
    </row>
    <row r="28" spans="1:7" x14ac:dyDescent="0.25">
      <c r="A28" s="30" t="s">
        <v>4</v>
      </c>
      <c r="B28" s="67" t="str">
        <f>B6</f>
        <v>LUZVI PIÑA</v>
      </c>
      <c r="C28" s="67"/>
      <c r="D28" s="67"/>
      <c r="E28" s="67"/>
      <c r="F28" s="67"/>
      <c r="G28" s="68"/>
    </row>
    <row r="29" spans="1:7" x14ac:dyDescent="0.25">
      <c r="A29" s="30" t="s">
        <v>3</v>
      </c>
      <c r="B29" s="69" t="str">
        <f>B7</f>
        <v xml:space="preserve">PAGO 28$ ABONO A DEUDA PENDIENTE. </v>
      </c>
      <c r="C29" s="69"/>
      <c r="D29" s="69"/>
      <c r="E29" s="69"/>
      <c r="F29" s="69"/>
      <c r="G29" s="70"/>
    </row>
    <row r="30" spans="1:7" x14ac:dyDescent="0.25">
      <c r="A30" s="35"/>
      <c r="B30" s="36"/>
      <c r="C30" s="36"/>
      <c r="D30" s="36"/>
      <c r="E30" s="36"/>
      <c r="F30" s="36"/>
      <c r="G30" s="37"/>
    </row>
    <row r="31" spans="1:7" x14ac:dyDescent="0.25">
      <c r="A31" s="27"/>
      <c r="G31" s="29"/>
    </row>
    <row r="32" spans="1:7" x14ac:dyDescent="0.25">
      <c r="A32" s="77"/>
      <c r="B32" s="78"/>
      <c r="C32" s="78"/>
      <c r="D32" s="21"/>
      <c r="E32" s="21"/>
      <c r="F32" s="21"/>
      <c r="G32" s="79"/>
    </row>
    <row r="33" spans="1:7" x14ac:dyDescent="0.25">
      <c r="A33" s="30" t="s">
        <v>120</v>
      </c>
      <c r="B33" s="71" t="str">
        <f>B11</f>
        <v>A-15</v>
      </c>
      <c r="C33" s="71"/>
      <c r="G33" s="29"/>
    </row>
    <row r="34" spans="1:7" ht="22.5" x14ac:dyDescent="0.25">
      <c r="A34" s="39" t="s">
        <v>121</v>
      </c>
      <c r="B34" s="71" t="str">
        <f>B12</f>
        <v>X</v>
      </c>
      <c r="C34" s="71"/>
      <c r="G34" s="29"/>
    </row>
    <row r="35" spans="1:7" x14ac:dyDescent="0.25">
      <c r="A35" s="27"/>
      <c r="G35" s="29"/>
    </row>
    <row r="36" spans="1:7" x14ac:dyDescent="0.25">
      <c r="A36" s="30" t="s">
        <v>123</v>
      </c>
      <c r="B36" s="40">
        <f>B14</f>
        <v>12600</v>
      </c>
      <c r="C36" s="40"/>
      <c r="D36" s="40"/>
      <c r="E36" s="41"/>
      <c r="F36" s="42" t="s">
        <v>124</v>
      </c>
      <c r="G36" s="72">
        <f>G14</f>
        <v>46093</v>
      </c>
    </row>
    <row r="37" spans="1:7" x14ac:dyDescent="0.25">
      <c r="A37" s="30" t="s">
        <v>125</v>
      </c>
      <c r="B37" s="44"/>
      <c r="C37" s="73" t="str">
        <f>C15</f>
        <v>PAGO MOVIL</v>
      </c>
      <c r="D37" s="73"/>
      <c r="E37" s="46"/>
      <c r="G37" s="29"/>
    </row>
    <row r="38" spans="1:7" x14ac:dyDescent="0.25">
      <c r="A38" s="30" t="s">
        <v>2</v>
      </c>
      <c r="B38" s="44"/>
      <c r="C38" s="74">
        <f>C16</f>
        <v>85455</v>
      </c>
      <c r="D38" s="74"/>
      <c r="E38" s="46"/>
      <c r="G38" s="29"/>
    </row>
    <row r="39" spans="1:7" x14ac:dyDescent="0.25">
      <c r="A39" s="47"/>
      <c r="B39" s="48"/>
      <c r="C39" s="48"/>
      <c r="E39" s="49" t="s">
        <v>127</v>
      </c>
      <c r="F39" s="80" t="str">
        <f>F17</f>
        <v>Javier Herrera</v>
      </c>
      <c r="G39" s="81"/>
    </row>
    <row r="40" spans="1:7" x14ac:dyDescent="0.25">
      <c r="A40" s="52" t="s">
        <v>128</v>
      </c>
      <c r="B40" s="52"/>
      <c r="C40" s="52"/>
      <c r="D40" s="52"/>
      <c r="E40" s="52"/>
      <c r="F40" s="52"/>
      <c r="G40" s="52"/>
    </row>
    <row r="41" spans="1:7" x14ac:dyDescent="0.25">
      <c r="A41" s="53" t="s">
        <v>129</v>
      </c>
      <c r="B41" s="53"/>
      <c r="C41" s="54" t="str">
        <f>C19</f>
        <v>PENDIENTE HASTA MARZO 84$</v>
      </c>
      <c r="D41" s="54"/>
      <c r="E41" s="54"/>
      <c r="F41" s="54"/>
      <c r="G41" s="54"/>
    </row>
    <row r="42" spans="1:7" x14ac:dyDescent="0.25">
      <c r="A42" s="55" t="s">
        <v>130</v>
      </c>
      <c r="B42" s="55"/>
      <c r="C42" s="56">
        <f>C20</f>
        <v>46093</v>
      </c>
      <c r="D42" s="75">
        <f>D20</f>
        <v>440.96</v>
      </c>
      <c r="E42" s="58"/>
      <c r="F42" s="58"/>
      <c r="G42" s="58"/>
    </row>
    <row r="43" spans="1:7" x14ac:dyDescent="0.25">
      <c r="A43" s="76"/>
      <c r="B43" s="76"/>
      <c r="C43" s="76"/>
      <c r="D43" s="76"/>
      <c r="E43" s="76"/>
      <c r="F43" s="76"/>
      <c r="G43" s="76"/>
    </row>
  </sheetData>
  <mergeCells count="30">
    <mergeCell ref="F39:G39"/>
    <mergeCell ref="A40:G40"/>
    <mergeCell ref="A41:B41"/>
    <mergeCell ref="C41:G41"/>
    <mergeCell ref="A42:B42"/>
    <mergeCell ref="A43:G43"/>
    <mergeCell ref="B33:C33"/>
    <mergeCell ref="B34:C34"/>
    <mergeCell ref="B36:D36"/>
    <mergeCell ref="C37:D37"/>
    <mergeCell ref="C38:D38"/>
    <mergeCell ref="A20:B20"/>
    <mergeCell ref="A10:G10"/>
    <mergeCell ref="C24:E24"/>
    <mergeCell ref="B28:G28"/>
    <mergeCell ref="B29:G29"/>
    <mergeCell ref="A30:G30"/>
    <mergeCell ref="B14:D14"/>
    <mergeCell ref="C15:D15"/>
    <mergeCell ref="C16:D16"/>
    <mergeCell ref="F17:G17"/>
    <mergeCell ref="A18:G18"/>
    <mergeCell ref="A19:B19"/>
    <mergeCell ref="C19:G19"/>
    <mergeCell ref="C2:E2"/>
    <mergeCell ref="B6:G6"/>
    <mergeCell ref="B7:G7"/>
    <mergeCell ref="A8:G8"/>
    <mergeCell ref="B11:C11"/>
    <mergeCell ref="B12:C12"/>
  </mergeCells>
  <pageMargins left="0.7" right="0.7" top="0.75" bottom="0.75" header="0.3" footer="0.3"/>
  <pageSetup scale="78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Mosquera</dc:creator>
  <cp:lastModifiedBy>Daniel Mosquera</cp:lastModifiedBy>
  <cp:lastPrinted>2026-03-13T01:07:27Z</cp:lastPrinted>
  <dcterms:created xsi:type="dcterms:W3CDTF">2026-03-08T17:52:10Z</dcterms:created>
  <dcterms:modified xsi:type="dcterms:W3CDTF">2026-03-13T01:09:08Z</dcterms:modified>
</cp:coreProperties>
</file>