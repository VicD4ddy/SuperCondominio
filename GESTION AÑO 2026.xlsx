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\Desktop\TODO\condominio 2025\año 2026\"/>
    </mc:Choice>
  </mc:AlternateContent>
  <xr:revisionPtr revIDLastSave="0" documentId="13_ncr:1_{37C994FB-76CD-4C4A-85A0-07FAA041A442}" xr6:coauthVersionLast="47" xr6:coauthVersionMax="47" xr10:uidLastSave="{00000000-0000-0000-0000-000000000000}"/>
  <bookViews>
    <workbookView xWindow="-120" yWindow="-120" windowWidth="29040" windowHeight="15720" xr2:uid="{9820B14A-E8E7-454D-BFE3-7DFEA27067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0" i="1" l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29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4" i="1"/>
  <c r="D26" i="1"/>
  <c r="L53" i="1"/>
  <c r="K53" i="1"/>
  <c r="J53" i="1"/>
  <c r="I53" i="1"/>
  <c r="H53" i="1"/>
  <c r="G53" i="1"/>
  <c r="F53" i="1"/>
  <c r="E53" i="1"/>
  <c r="D53" i="1"/>
  <c r="M26" i="1"/>
  <c r="L26" i="1"/>
  <c r="K26" i="1"/>
  <c r="J26" i="1"/>
  <c r="I26" i="1"/>
  <c r="H26" i="1"/>
  <c r="G26" i="1"/>
  <c r="F26" i="1"/>
  <c r="E26" i="1"/>
  <c r="Q53" i="1" l="1"/>
  <c r="Q26" i="1"/>
</calcChain>
</file>

<file path=xl/sharedStrings.xml><?xml version="1.0" encoding="utf-8"?>
<sst xmlns="http://schemas.openxmlformats.org/spreadsheetml/2006/main" count="131" uniqueCount="113">
  <si>
    <t>CASA</t>
  </si>
  <si>
    <t>PROPIETARIO</t>
  </si>
  <si>
    <t>PUESTO ADICIONAL</t>
  </si>
  <si>
    <t>DEUDA AL 2024</t>
  </si>
  <si>
    <t>ENE</t>
  </si>
  <si>
    <t>FEB</t>
  </si>
  <si>
    <t>MARZ</t>
  </si>
  <si>
    <t>ABRIL</t>
  </si>
  <si>
    <t>MAYO</t>
  </si>
  <si>
    <t>JUNIO</t>
  </si>
  <si>
    <t>JULIO</t>
  </si>
  <si>
    <t>AGOST</t>
  </si>
  <si>
    <t>SEP</t>
  </si>
  <si>
    <t>OCT</t>
  </si>
  <si>
    <t>NOV</t>
  </si>
  <si>
    <t>DIC</t>
  </si>
  <si>
    <t>TOTAL:</t>
  </si>
  <si>
    <t>C-01</t>
  </si>
  <si>
    <t>YESSENIA TORREALBA</t>
  </si>
  <si>
    <t>C-02</t>
  </si>
  <si>
    <t>MARLENE VERGARA</t>
  </si>
  <si>
    <t>C-03</t>
  </si>
  <si>
    <t>ZENATLVANET KABLAN</t>
  </si>
  <si>
    <t>C-04</t>
  </si>
  <si>
    <t>BELKIS REYES</t>
  </si>
  <si>
    <t>C-05</t>
  </si>
  <si>
    <t>ZENAIR RAMIREZ</t>
  </si>
  <si>
    <t>C-06</t>
  </si>
  <si>
    <t>ANA PATRICIA DUQUE</t>
  </si>
  <si>
    <t>C-07</t>
  </si>
  <si>
    <t>JHON SILVA</t>
  </si>
  <si>
    <t>C-08</t>
  </si>
  <si>
    <t>ANGEL SANCHEZ</t>
  </si>
  <si>
    <t>C-09</t>
  </si>
  <si>
    <t>MIRNA GARCIA</t>
  </si>
  <si>
    <t>C-10</t>
  </si>
  <si>
    <t>MILAGROS BLANCO</t>
  </si>
  <si>
    <t>C-11</t>
  </si>
  <si>
    <t>KISBEL MATUTE</t>
  </si>
  <si>
    <t>C-12</t>
  </si>
  <si>
    <t>EDITH PINEDA</t>
  </si>
  <si>
    <t>C-13</t>
  </si>
  <si>
    <t>BEZAIDA ZARATE</t>
  </si>
  <si>
    <t>C-14</t>
  </si>
  <si>
    <t>JAIME VASQUEZ</t>
  </si>
  <si>
    <t>C-15</t>
  </si>
  <si>
    <t>YAJAIRA DIAZ</t>
  </si>
  <si>
    <t>C-16</t>
  </si>
  <si>
    <t>TANIA CARABALLO</t>
  </si>
  <si>
    <t>C-17</t>
  </si>
  <si>
    <t>NOREIDA GARCÍA</t>
  </si>
  <si>
    <t>C-18</t>
  </si>
  <si>
    <t>JUAN AGUILAR</t>
  </si>
  <si>
    <t>C-19</t>
  </si>
  <si>
    <t>FLOR DÍAZ</t>
  </si>
  <si>
    <t>C-20</t>
  </si>
  <si>
    <t>ROSMARY DÍAZ</t>
  </si>
  <si>
    <t>C-21</t>
  </si>
  <si>
    <t>FRANCYS PÉREZ</t>
  </si>
  <si>
    <t>C-22</t>
  </si>
  <si>
    <t>YANETH MORENO</t>
  </si>
  <si>
    <t>TOTAL AL 2024</t>
  </si>
  <si>
    <t>TOTAL DEUDA MODULO C:</t>
  </si>
  <si>
    <t>D-01</t>
  </si>
  <si>
    <t>JUDITH CORDONES</t>
  </si>
  <si>
    <t>D-02</t>
  </si>
  <si>
    <t>NORMA ASCANIO</t>
  </si>
  <si>
    <t>D-03</t>
  </si>
  <si>
    <t>MIGUEL PACHECO</t>
  </si>
  <si>
    <t>D-04</t>
  </si>
  <si>
    <t>GERSON REINA</t>
  </si>
  <si>
    <t>D-05</t>
  </si>
  <si>
    <t>KEINNILYN CARDOZO</t>
  </si>
  <si>
    <t>D-06</t>
  </si>
  <si>
    <t>CARLOS ACOSTA</t>
  </si>
  <si>
    <t>D-07</t>
  </si>
  <si>
    <t>BELKIS PEREIRA</t>
  </si>
  <si>
    <t>D-08</t>
  </si>
  <si>
    <t>KATIUSCA SANTIAGO</t>
  </si>
  <si>
    <t>D-09</t>
  </si>
  <si>
    <t>PEDRO RODRIGUEZ</t>
  </si>
  <si>
    <t>D-10</t>
  </si>
  <si>
    <t>JESUS TORRES</t>
  </si>
  <si>
    <t>D-11</t>
  </si>
  <si>
    <t>WILSON VENEGAS</t>
  </si>
  <si>
    <t>D-15</t>
  </si>
  <si>
    <t>YESENIA GONZALEZ</t>
  </si>
  <si>
    <t>D-13</t>
  </si>
  <si>
    <t>RUBEN SALAS</t>
  </si>
  <si>
    <t>D-14</t>
  </si>
  <si>
    <t>GRECIA TOVAR</t>
  </si>
  <si>
    <t>MIGUEL SANCHEZ</t>
  </si>
  <si>
    <t>D-16</t>
  </si>
  <si>
    <t>JOSE REYES</t>
  </si>
  <si>
    <t>D-17</t>
  </si>
  <si>
    <t>JOSE MARTINEZ</t>
  </si>
  <si>
    <t>D-18</t>
  </si>
  <si>
    <t>GLENDA ROMÁN</t>
  </si>
  <si>
    <t>D-19</t>
  </si>
  <si>
    <t>PEDRO SILVA</t>
  </si>
  <si>
    <t>D-20</t>
  </si>
  <si>
    <t>RAUL VASQUEZ</t>
  </si>
  <si>
    <t>D-21</t>
  </si>
  <si>
    <t>BERNARDA CHOURIO</t>
  </si>
  <si>
    <t>D-22</t>
  </si>
  <si>
    <t>VICTOR REYES</t>
  </si>
  <si>
    <t>D-23</t>
  </si>
  <si>
    <t>ANA BATISTA</t>
  </si>
  <si>
    <t>D-24</t>
  </si>
  <si>
    <t>YENNI TORRES</t>
  </si>
  <si>
    <t>TOTAL DEUDA MODULO D:</t>
  </si>
  <si>
    <t>AÑO 2026</t>
  </si>
  <si>
    <t>DEUDA 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</si>
</sst>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0" fontId="0" fillId="2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0" fontId="0" fillId="4" borderId="2" xfId="0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B944-C065-40ED-BCDD-7C1FEF53504A}">
  <sheetPr>
    <pageSetUpPr fitToPage="1"/>
  </sheetPr>
  <dimension ref="A1:Q53"/>
  <sheetViews>
    <sheetView tabSelected="1" topLeftCell="A13" workbookViewId="0">
      <selection activeCell="D23" sqref="D23"/>
    </sheetView>
  </sheetViews>
  <sheetFormatPr baseColWidth="10" defaultRowHeight="15" x14ac:dyDescent="0.25"/>
  <cols>
    <col min="2" max="2" width="23.85546875" customWidth="1"/>
  </cols>
  <sheetData>
    <row r="1" spans="1:17" x14ac:dyDescent="0.25">
      <c r="A1" s="16" t="s">
        <v>111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30" x14ac:dyDescent="0.25">
      <c r="A3" s="1" t="s">
        <v>0</v>
      </c>
      <c r="B3" s="2" t="s">
        <v>1</v>
      </c>
      <c r="C3" s="1" t="s">
        <v>2</v>
      </c>
      <c r="D3" s="3" t="s">
        <v>112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</row>
    <row r="4" spans="1:17" x14ac:dyDescent="0.25">
      <c r="A4" s="5" t="s">
        <v>17</v>
      </c>
      <c r="B4" s="6" t="s">
        <v>18</v>
      </c>
      <c r="C4" s="5"/>
      <c r="D4" s="5"/>
      <c r="E4" s="10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5">
        <f>SUM(D4:P4)</f>
        <v>0</v>
      </c>
    </row>
    <row r="5" spans="1:17" x14ac:dyDescent="0.25">
      <c r="A5" s="5" t="s">
        <v>19</v>
      </c>
      <c r="B5" s="6" t="s">
        <v>20</v>
      </c>
      <c r="C5" s="5"/>
      <c r="D5" s="5">
        <v>28</v>
      </c>
      <c r="E5" s="11">
        <v>5</v>
      </c>
      <c r="F5" s="11">
        <v>5</v>
      </c>
      <c r="G5" s="11">
        <v>6</v>
      </c>
      <c r="H5" s="11"/>
      <c r="I5" s="11"/>
      <c r="J5" s="11"/>
      <c r="K5" s="11"/>
      <c r="L5" s="11"/>
      <c r="M5" s="11"/>
      <c r="N5" s="11"/>
      <c r="O5" s="11"/>
      <c r="P5" s="11"/>
      <c r="Q5" s="5">
        <f t="shared" ref="Q5:Q25" si="0">SUM(D5:P5)</f>
        <v>44</v>
      </c>
    </row>
    <row r="6" spans="1:17" x14ac:dyDescent="0.25">
      <c r="A6" s="5" t="s">
        <v>21</v>
      </c>
      <c r="B6" s="6" t="s">
        <v>22</v>
      </c>
      <c r="C6" s="5"/>
      <c r="D6" s="5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5">
        <f t="shared" si="0"/>
        <v>0</v>
      </c>
    </row>
    <row r="7" spans="1:17" x14ac:dyDescent="0.25">
      <c r="A7" s="5" t="s">
        <v>23</v>
      </c>
      <c r="B7" s="6" t="s">
        <v>24</v>
      </c>
      <c r="C7" s="5"/>
      <c r="D7" s="5">
        <v>36</v>
      </c>
      <c r="E7" s="11">
        <v>5</v>
      </c>
      <c r="F7" s="11">
        <v>5</v>
      </c>
      <c r="G7" s="11">
        <v>6</v>
      </c>
      <c r="H7" s="11"/>
      <c r="I7" s="11"/>
      <c r="J7" s="11"/>
      <c r="K7" s="11"/>
      <c r="L7" s="11"/>
      <c r="M7" s="11"/>
      <c r="N7" s="11"/>
      <c r="O7" s="11"/>
      <c r="P7" s="11"/>
      <c r="Q7" s="5">
        <f t="shared" si="0"/>
        <v>52</v>
      </c>
    </row>
    <row r="8" spans="1:17" x14ac:dyDescent="0.25">
      <c r="A8" s="8" t="s">
        <v>25</v>
      </c>
      <c r="B8" s="9" t="s">
        <v>26</v>
      </c>
      <c r="C8" s="8"/>
      <c r="D8" s="5">
        <v>126</v>
      </c>
      <c r="E8" s="11">
        <v>5</v>
      </c>
      <c r="F8" s="11">
        <v>5</v>
      </c>
      <c r="G8" s="11">
        <v>6</v>
      </c>
      <c r="H8" s="11"/>
      <c r="I8" s="11"/>
      <c r="J8" s="11"/>
      <c r="K8" s="11"/>
      <c r="L8" s="11"/>
      <c r="M8" s="11"/>
      <c r="N8" s="11"/>
      <c r="O8" s="11"/>
      <c r="P8" s="11"/>
      <c r="Q8" s="5">
        <f t="shared" si="0"/>
        <v>142</v>
      </c>
    </row>
    <row r="9" spans="1:17" x14ac:dyDescent="0.25">
      <c r="A9" s="5" t="s">
        <v>27</v>
      </c>
      <c r="B9" s="6" t="s">
        <v>28</v>
      </c>
      <c r="C9" s="5"/>
      <c r="D9" s="5"/>
      <c r="E9" s="10"/>
      <c r="F9" s="10"/>
      <c r="G9" s="10"/>
      <c r="H9" s="10"/>
      <c r="I9" s="11"/>
      <c r="J9" s="11"/>
      <c r="K9" s="11"/>
      <c r="L9" s="11"/>
      <c r="M9" s="11"/>
      <c r="N9" s="11"/>
      <c r="O9" s="11"/>
      <c r="P9" s="11"/>
      <c r="Q9" s="5">
        <f t="shared" si="0"/>
        <v>0</v>
      </c>
    </row>
    <row r="10" spans="1:17" x14ac:dyDescent="0.25">
      <c r="A10" s="5" t="s">
        <v>29</v>
      </c>
      <c r="B10" s="6" t="s">
        <v>30</v>
      </c>
      <c r="C10" s="5">
        <v>1</v>
      </c>
      <c r="D10" s="5"/>
      <c r="E10" s="11">
        <v>6</v>
      </c>
      <c r="F10" s="11">
        <v>6</v>
      </c>
      <c r="G10" s="11">
        <v>9</v>
      </c>
      <c r="H10" s="11"/>
      <c r="I10" s="11"/>
      <c r="J10" s="11"/>
      <c r="K10" s="11"/>
      <c r="L10" s="11"/>
      <c r="M10" s="11"/>
      <c r="N10" s="11"/>
      <c r="O10" s="11"/>
      <c r="P10" s="11"/>
      <c r="Q10" s="5">
        <f t="shared" si="0"/>
        <v>21</v>
      </c>
    </row>
    <row r="11" spans="1:17" x14ac:dyDescent="0.25">
      <c r="A11" s="5" t="s">
        <v>31</v>
      </c>
      <c r="B11" s="6" t="s">
        <v>32</v>
      </c>
      <c r="C11" s="5"/>
      <c r="D11" s="5">
        <v>55</v>
      </c>
      <c r="E11" s="11">
        <v>5</v>
      </c>
      <c r="F11" s="11">
        <v>5</v>
      </c>
      <c r="G11" s="11">
        <v>6</v>
      </c>
      <c r="H11" s="11"/>
      <c r="I11" s="11"/>
      <c r="J11" s="11"/>
      <c r="K11" s="11"/>
      <c r="L11" s="11"/>
      <c r="M11" s="11"/>
      <c r="N11" s="11"/>
      <c r="O11" s="11"/>
      <c r="P11" s="11"/>
      <c r="Q11" s="5">
        <f t="shared" si="0"/>
        <v>71</v>
      </c>
    </row>
    <row r="12" spans="1:17" x14ac:dyDescent="0.25">
      <c r="A12" s="5" t="s">
        <v>33</v>
      </c>
      <c r="B12" s="6" t="s">
        <v>34</v>
      </c>
      <c r="C12" s="5"/>
      <c r="D12" s="5">
        <v>0</v>
      </c>
      <c r="E12" s="10"/>
      <c r="F12" s="10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5">
        <f t="shared" si="0"/>
        <v>0</v>
      </c>
    </row>
    <row r="13" spans="1:17" x14ac:dyDescent="0.25">
      <c r="A13" s="8" t="s">
        <v>35</v>
      </c>
      <c r="B13" s="9" t="s">
        <v>36</v>
      </c>
      <c r="C13" s="8"/>
      <c r="D13" s="5">
        <v>153</v>
      </c>
      <c r="E13" s="11">
        <v>5</v>
      </c>
      <c r="F13" s="11">
        <v>5</v>
      </c>
      <c r="G13" s="11">
        <v>6</v>
      </c>
      <c r="H13" s="11"/>
      <c r="I13" s="11"/>
      <c r="J13" s="11"/>
      <c r="K13" s="11"/>
      <c r="L13" s="11"/>
      <c r="M13" s="11"/>
      <c r="N13" s="11"/>
      <c r="O13" s="11"/>
      <c r="P13" s="11"/>
      <c r="Q13" s="5">
        <f t="shared" si="0"/>
        <v>169</v>
      </c>
    </row>
    <row r="14" spans="1:17" x14ac:dyDescent="0.25">
      <c r="A14" s="8" t="s">
        <v>37</v>
      </c>
      <c r="B14" s="9" t="s">
        <v>38</v>
      </c>
      <c r="C14" s="8"/>
      <c r="D14" s="5">
        <v>111</v>
      </c>
      <c r="E14" s="11">
        <v>5</v>
      </c>
      <c r="F14" s="11">
        <v>5</v>
      </c>
      <c r="G14" s="11">
        <v>6</v>
      </c>
      <c r="H14" s="11"/>
      <c r="I14" s="11"/>
      <c r="J14" s="11"/>
      <c r="K14" s="11"/>
      <c r="L14" s="11"/>
      <c r="M14" s="11"/>
      <c r="N14" s="11"/>
      <c r="O14" s="11"/>
      <c r="P14" s="11"/>
      <c r="Q14" s="5">
        <f t="shared" si="0"/>
        <v>127</v>
      </c>
    </row>
    <row r="15" spans="1:17" x14ac:dyDescent="0.25">
      <c r="A15" s="8" t="s">
        <v>39</v>
      </c>
      <c r="B15" s="9" t="s">
        <v>40</v>
      </c>
      <c r="C15" s="8"/>
      <c r="D15" s="5">
        <v>198</v>
      </c>
      <c r="E15" s="11">
        <v>5</v>
      </c>
      <c r="F15" s="11">
        <v>5</v>
      </c>
      <c r="G15" s="11">
        <v>6</v>
      </c>
      <c r="H15" s="11"/>
      <c r="I15" s="11"/>
      <c r="J15" s="11"/>
      <c r="K15" s="11"/>
      <c r="L15" s="11"/>
      <c r="M15" s="11"/>
      <c r="N15" s="11"/>
      <c r="O15" s="11"/>
      <c r="P15" s="11"/>
      <c r="Q15" s="5">
        <f t="shared" si="0"/>
        <v>214</v>
      </c>
    </row>
    <row r="16" spans="1:17" x14ac:dyDescent="0.25">
      <c r="A16" s="8" t="s">
        <v>41</v>
      </c>
      <c r="B16" s="9" t="s">
        <v>42</v>
      </c>
      <c r="C16" s="8"/>
      <c r="D16" s="5">
        <v>73</v>
      </c>
      <c r="E16" s="11">
        <v>5</v>
      </c>
      <c r="F16" s="11">
        <v>5</v>
      </c>
      <c r="G16" s="11">
        <v>6</v>
      </c>
      <c r="H16" s="11"/>
      <c r="I16" s="11"/>
      <c r="J16" s="11"/>
      <c r="K16" s="11"/>
      <c r="L16" s="11"/>
      <c r="M16" s="11"/>
      <c r="N16" s="11"/>
      <c r="O16" s="11"/>
      <c r="P16" s="11"/>
      <c r="Q16" s="5">
        <f t="shared" si="0"/>
        <v>89</v>
      </c>
    </row>
    <row r="17" spans="1:17" x14ac:dyDescent="0.25">
      <c r="A17" s="8" t="s">
        <v>43</v>
      </c>
      <c r="B17" s="9" t="s">
        <v>44</v>
      </c>
      <c r="C17" s="8"/>
      <c r="D17" s="5">
        <v>142</v>
      </c>
      <c r="E17" s="11">
        <v>5</v>
      </c>
      <c r="F17" s="11">
        <v>5</v>
      </c>
      <c r="G17" s="11">
        <v>6</v>
      </c>
      <c r="H17" s="11"/>
      <c r="I17" s="11"/>
      <c r="J17" s="11"/>
      <c r="K17" s="11"/>
      <c r="L17" s="11"/>
      <c r="M17" s="11"/>
      <c r="N17" s="11"/>
      <c r="O17" s="11"/>
      <c r="P17" s="11"/>
      <c r="Q17" s="5">
        <f t="shared" si="0"/>
        <v>158</v>
      </c>
    </row>
    <row r="18" spans="1:17" x14ac:dyDescent="0.25">
      <c r="A18" s="5" t="s">
        <v>45</v>
      </c>
      <c r="B18" s="6" t="s">
        <v>46</v>
      </c>
      <c r="C18" s="5"/>
      <c r="D18" s="5">
        <v>5</v>
      </c>
      <c r="E18" s="10"/>
      <c r="F18" s="10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5">
        <f t="shared" si="0"/>
        <v>5</v>
      </c>
    </row>
    <row r="19" spans="1:17" x14ac:dyDescent="0.25">
      <c r="A19" s="8" t="s">
        <v>47</v>
      </c>
      <c r="B19" s="9" t="s">
        <v>48</v>
      </c>
      <c r="C19" s="8"/>
      <c r="D19" s="5">
        <v>173</v>
      </c>
      <c r="E19" s="11">
        <v>5</v>
      </c>
      <c r="F19" s="11">
        <v>5</v>
      </c>
      <c r="G19" s="11">
        <v>6</v>
      </c>
      <c r="H19" s="11"/>
      <c r="I19" s="11"/>
      <c r="J19" s="11"/>
      <c r="K19" s="11"/>
      <c r="L19" s="11"/>
      <c r="M19" s="11"/>
      <c r="N19" s="11"/>
      <c r="O19" s="11"/>
      <c r="P19" s="11"/>
      <c r="Q19" s="5">
        <f t="shared" si="0"/>
        <v>189</v>
      </c>
    </row>
    <row r="20" spans="1:17" x14ac:dyDescent="0.25">
      <c r="A20" s="5" t="s">
        <v>49</v>
      </c>
      <c r="B20" s="6" t="s">
        <v>50</v>
      </c>
      <c r="C20" s="5"/>
      <c r="D20" s="5"/>
      <c r="E20" s="11">
        <v>5</v>
      </c>
      <c r="F20" s="11">
        <v>5</v>
      </c>
      <c r="G20" s="11">
        <v>6</v>
      </c>
      <c r="H20" s="11"/>
      <c r="I20" s="11"/>
      <c r="J20" s="11"/>
      <c r="K20" s="11"/>
      <c r="L20" s="11"/>
      <c r="M20" s="11"/>
      <c r="N20" s="11"/>
      <c r="O20" s="11"/>
      <c r="P20" s="11"/>
      <c r="Q20" s="5">
        <f t="shared" si="0"/>
        <v>16</v>
      </c>
    </row>
    <row r="21" spans="1:17" x14ac:dyDescent="0.25">
      <c r="A21" s="8" t="s">
        <v>51</v>
      </c>
      <c r="B21" s="9" t="s">
        <v>52</v>
      </c>
      <c r="C21" s="8">
        <v>3</v>
      </c>
      <c r="D21" s="5">
        <v>209</v>
      </c>
      <c r="E21" s="11">
        <v>8</v>
      </c>
      <c r="F21" s="11">
        <v>8</v>
      </c>
      <c r="G21" s="11">
        <v>15</v>
      </c>
      <c r="H21" s="11"/>
      <c r="I21" s="11"/>
      <c r="J21" s="11"/>
      <c r="K21" s="11"/>
      <c r="L21" s="11"/>
      <c r="M21" s="11"/>
      <c r="N21" s="11"/>
      <c r="O21" s="11"/>
      <c r="P21" s="11"/>
      <c r="Q21" s="5">
        <f t="shared" si="0"/>
        <v>240</v>
      </c>
    </row>
    <row r="22" spans="1:17" x14ac:dyDescent="0.25">
      <c r="A22" s="8" t="s">
        <v>53</v>
      </c>
      <c r="B22" s="9" t="s">
        <v>54</v>
      </c>
      <c r="C22" s="8"/>
      <c r="D22" s="5">
        <v>70</v>
      </c>
      <c r="E22" s="11">
        <v>5</v>
      </c>
      <c r="F22" s="11">
        <v>5</v>
      </c>
      <c r="G22" s="11">
        <v>6</v>
      </c>
      <c r="H22" s="11"/>
      <c r="I22" s="11"/>
      <c r="J22" s="11"/>
      <c r="K22" s="11"/>
      <c r="L22" s="11"/>
      <c r="M22" s="11"/>
      <c r="N22" s="11"/>
      <c r="O22" s="11"/>
      <c r="P22" s="11"/>
      <c r="Q22" s="5">
        <f t="shared" si="0"/>
        <v>86</v>
      </c>
    </row>
    <row r="23" spans="1:17" x14ac:dyDescent="0.25">
      <c r="A23" s="8" t="s">
        <v>55</v>
      </c>
      <c r="B23" s="9" t="s">
        <v>56</v>
      </c>
      <c r="C23" s="8"/>
      <c r="D23" s="5">
        <v>97</v>
      </c>
      <c r="E23" s="11">
        <v>5</v>
      </c>
      <c r="F23" s="11">
        <v>5</v>
      </c>
      <c r="G23" s="11">
        <v>6</v>
      </c>
      <c r="H23" s="11"/>
      <c r="I23" s="11"/>
      <c r="J23" s="11"/>
      <c r="K23" s="11"/>
      <c r="L23" s="11"/>
      <c r="M23" s="11"/>
      <c r="N23" s="11"/>
      <c r="O23" s="11"/>
      <c r="P23" s="11"/>
      <c r="Q23" s="5">
        <f t="shared" si="0"/>
        <v>113</v>
      </c>
    </row>
    <row r="24" spans="1:17" x14ac:dyDescent="0.25">
      <c r="A24" s="5" t="s">
        <v>57</v>
      </c>
      <c r="B24" s="6" t="s">
        <v>58</v>
      </c>
      <c r="C24" s="5"/>
      <c r="D24" s="5"/>
      <c r="E24" s="10"/>
      <c r="F24" s="10"/>
      <c r="G24" s="10"/>
      <c r="H24" s="10">
        <v>4</v>
      </c>
      <c r="I24" s="11"/>
      <c r="J24" s="11"/>
      <c r="K24" s="11"/>
      <c r="L24" s="11"/>
      <c r="M24" s="11"/>
      <c r="N24" s="11"/>
      <c r="O24" s="11"/>
      <c r="P24" s="11"/>
      <c r="Q24" s="5">
        <f t="shared" si="0"/>
        <v>4</v>
      </c>
    </row>
    <row r="25" spans="1:17" x14ac:dyDescent="0.25">
      <c r="A25" s="5" t="s">
        <v>59</v>
      </c>
      <c r="B25" s="6" t="s">
        <v>60</v>
      </c>
      <c r="C25" s="5"/>
      <c r="D25" s="5"/>
      <c r="E25" s="11">
        <v>5</v>
      </c>
      <c r="F25" s="11">
        <v>5</v>
      </c>
      <c r="G25" s="11">
        <v>6</v>
      </c>
      <c r="H25" s="11"/>
      <c r="I25" s="11"/>
      <c r="J25" s="11"/>
      <c r="K25" s="11"/>
      <c r="L25" s="11"/>
      <c r="M25" s="11"/>
      <c r="N25" s="11"/>
      <c r="O25" s="11"/>
      <c r="P25" s="12"/>
      <c r="Q25" s="5">
        <f t="shared" si="0"/>
        <v>16</v>
      </c>
    </row>
    <row r="26" spans="1:17" x14ac:dyDescent="0.25">
      <c r="B26" s="13" t="s">
        <v>61</v>
      </c>
      <c r="C26" s="14"/>
      <c r="D26" s="7">
        <f>SUM(D4:D25)</f>
        <v>1476</v>
      </c>
      <c r="E26" s="7">
        <f t="shared" ref="E26:M26" si="1">SUM(E4:E25)</f>
        <v>84</v>
      </c>
      <c r="F26" s="7">
        <f t="shared" si="1"/>
        <v>84</v>
      </c>
      <c r="G26" s="7">
        <f t="shared" si="1"/>
        <v>108</v>
      </c>
      <c r="H26" s="7">
        <f t="shared" si="1"/>
        <v>4</v>
      </c>
      <c r="I26" s="7">
        <f t="shared" si="1"/>
        <v>0</v>
      </c>
      <c r="J26" s="7">
        <f t="shared" si="1"/>
        <v>0</v>
      </c>
      <c r="K26" s="7">
        <f t="shared" si="1"/>
        <v>0</v>
      </c>
      <c r="L26" s="7">
        <f t="shared" si="1"/>
        <v>0</v>
      </c>
      <c r="M26" s="7">
        <f t="shared" si="1"/>
        <v>0</v>
      </c>
      <c r="N26" s="15" t="s">
        <v>62</v>
      </c>
      <c r="O26" s="15"/>
      <c r="P26" s="15"/>
      <c r="Q26" s="5">
        <f>SUM(Q4:Q25)</f>
        <v>1756</v>
      </c>
    </row>
    <row r="28" spans="1:17" ht="30" x14ac:dyDescent="0.25">
      <c r="A28" s="1" t="s">
        <v>0</v>
      </c>
      <c r="B28" s="2" t="s">
        <v>1</v>
      </c>
      <c r="C28" s="1" t="s">
        <v>2</v>
      </c>
      <c r="D28" s="3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11</v>
      </c>
      <c r="M28" s="4" t="s">
        <v>12</v>
      </c>
      <c r="N28" s="4" t="s">
        <v>13</v>
      </c>
      <c r="O28" s="4" t="s">
        <v>14</v>
      </c>
      <c r="P28" s="4" t="s">
        <v>15</v>
      </c>
      <c r="Q28" s="4" t="s">
        <v>16</v>
      </c>
    </row>
    <row r="29" spans="1:17" x14ac:dyDescent="0.25">
      <c r="A29" s="8" t="s">
        <v>63</v>
      </c>
      <c r="B29" s="9" t="s">
        <v>64</v>
      </c>
      <c r="C29" s="8"/>
      <c r="D29" s="8">
        <v>55</v>
      </c>
      <c r="E29" s="11">
        <v>5</v>
      </c>
      <c r="F29" s="11">
        <v>5</v>
      </c>
      <c r="G29" s="11">
        <v>6</v>
      </c>
      <c r="H29" s="11"/>
      <c r="I29" s="11"/>
      <c r="J29" s="11"/>
      <c r="K29" s="11"/>
      <c r="L29" s="11"/>
      <c r="M29" s="11"/>
      <c r="N29" s="11"/>
      <c r="O29" s="11"/>
      <c r="P29" s="11"/>
      <c r="Q29" s="11">
        <f>SUM(D29:P29)</f>
        <v>71</v>
      </c>
    </row>
    <row r="30" spans="1:17" x14ac:dyDescent="0.25">
      <c r="A30" s="5" t="s">
        <v>65</v>
      </c>
      <c r="B30" s="6" t="s">
        <v>66</v>
      </c>
      <c r="C30" s="5"/>
      <c r="D30" s="11"/>
      <c r="E30" s="10"/>
      <c r="F30" s="10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>
        <f t="shared" ref="Q30:Q52" si="2">SUM(D30:P30)</f>
        <v>0</v>
      </c>
    </row>
    <row r="31" spans="1:17" x14ac:dyDescent="0.25">
      <c r="A31" s="5" t="s">
        <v>67</v>
      </c>
      <c r="B31" s="6" t="s">
        <v>68</v>
      </c>
      <c r="C31" s="5"/>
      <c r="D31" s="5">
        <v>11</v>
      </c>
      <c r="E31" s="11">
        <v>5</v>
      </c>
      <c r="F31" s="11">
        <v>5</v>
      </c>
      <c r="G31" s="11">
        <v>6</v>
      </c>
      <c r="H31" s="11"/>
      <c r="I31" s="11"/>
      <c r="J31" s="11"/>
      <c r="K31" s="11"/>
      <c r="L31" s="11"/>
      <c r="M31" s="11"/>
      <c r="N31" s="11"/>
      <c r="O31" s="11"/>
      <c r="P31" s="11"/>
      <c r="Q31" s="11">
        <f t="shared" si="2"/>
        <v>27</v>
      </c>
    </row>
    <row r="32" spans="1:17" x14ac:dyDescent="0.25">
      <c r="A32" s="8" t="s">
        <v>69</v>
      </c>
      <c r="B32" s="9" t="s">
        <v>70</v>
      </c>
      <c r="C32" s="8"/>
      <c r="D32" s="8">
        <v>89</v>
      </c>
      <c r="E32" s="11">
        <v>5</v>
      </c>
      <c r="F32" s="11">
        <v>5</v>
      </c>
      <c r="G32" s="11">
        <v>6</v>
      </c>
      <c r="H32" s="11"/>
      <c r="I32" s="11"/>
      <c r="J32" s="11"/>
      <c r="K32" s="11"/>
      <c r="L32" s="11"/>
      <c r="M32" s="11"/>
      <c r="N32" s="11"/>
      <c r="O32" s="11"/>
      <c r="P32" s="11"/>
      <c r="Q32" s="11">
        <f t="shared" si="2"/>
        <v>105</v>
      </c>
    </row>
    <row r="33" spans="1:17" x14ac:dyDescent="0.25">
      <c r="A33" s="5" t="s">
        <v>71</v>
      </c>
      <c r="B33" s="6" t="s">
        <v>72</v>
      </c>
      <c r="C33" s="5"/>
      <c r="D33" s="5">
        <v>35</v>
      </c>
      <c r="E33" s="11">
        <v>5</v>
      </c>
      <c r="F33" s="11">
        <v>5</v>
      </c>
      <c r="G33" s="11">
        <v>6</v>
      </c>
      <c r="H33" s="11"/>
      <c r="I33" s="11"/>
      <c r="J33" s="11"/>
      <c r="K33" s="11"/>
      <c r="L33" s="11"/>
      <c r="M33" s="11"/>
      <c r="N33" s="11"/>
      <c r="O33" s="11"/>
      <c r="P33" s="11"/>
      <c r="Q33" s="11">
        <f t="shared" si="2"/>
        <v>51</v>
      </c>
    </row>
    <row r="34" spans="1:17" x14ac:dyDescent="0.25">
      <c r="A34" s="8" t="s">
        <v>73</v>
      </c>
      <c r="B34" s="9" t="s">
        <v>74</v>
      </c>
      <c r="C34" s="8"/>
      <c r="D34" s="8">
        <v>74</v>
      </c>
      <c r="E34" s="11">
        <v>5</v>
      </c>
      <c r="F34" s="11">
        <v>5</v>
      </c>
      <c r="G34" s="11">
        <v>6</v>
      </c>
      <c r="H34" s="11"/>
      <c r="I34" s="11"/>
      <c r="J34" s="11"/>
      <c r="K34" s="11"/>
      <c r="L34" s="11"/>
      <c r="M34" s="11"/>
      <c r="N34" s="11"/>
      <c r="O34" s="11"/>
      <c r="P34" s="11"/>
      <c r="Q34" s="11">
        <f t="shared" si="2"/>
        <v>90</v>
      </c>
    </row>
    <row r="35" spans="1:17" x14ac:dyDescent="0.25">
      <c r="A35" s="5" t="s">
        <v>75</v>
      </c>
      <c r="B35" s="6" t="s">
        <v>76</v>
      </c>
      <c r="C35" s="5"/>
      <c r="D35" s="5">
        <v>38</v>
      </c>
      <c r="E35" s="11">
        <v>5</v>
      </c>
      <c r="F35" s="11">
        <v>5</v>
      </c>
      <c r="G35" s="11">
        <v>6</v>
      </c>
      <c r="H35" s="11"/>
      <c r="I35" s="11"/>
      <c r="J35" s="11"/>
      <c r="K35" s="11"/>
      <c r="L35" s="11"/>
      <c r="M35" s="11"/>
      <c r="N35" s="11"/>
      <c r="O35" s="11"/>
      <c r="P35" s="11"/>
      <c r="Q35" s="11">
        <f t="shared" si="2"/>
        <v>54</v>
      </c>
    </row>
    <row r="36" spans="1:17" x14ac:dyDescent="0.25">
      <c r="A36" s="8" t="s">
        <v>77</v>
      </c>
      <c r="B36" s="9" t="s">
        <v>78</v>
      </c>
      <c r="C36" s="8"/>
      <c r="D36" s="8">
        <v>226</v>
      </c>
      <c r="E36" s="11">
        <v>5</v>
      </c>
      <c r="F36" s="11">
        <v>5</v>
      </c>
      <c r="G36" s="11">
        <v>6</v>
      </c>
      <c r="H36" s="11"/>
      <c r="I36" s="11"/>
      <c r="J36" s="11"/>
      <c r="K36" s="11"/>
      <c r="L36" s="11"/>
      <c r="M36" s="11"/>
      <c r="N36" s="11"/>
      <c r="O36" s="11"/>
      <c r="P36" s="11"/>
      <c r="Q36" s="11">
        <f t="shared" si="2"/>
        <v>242</v>
      </c>
    </row>
    <row r="37" spans="1:17" x14ac:dyDescent="0.25">
      <c r="A37" s="5" t="s">
        <v>79</v>
      </c>
      <c r="B37" s="6" t="s">
        <v>80</v>
      </c>
      <c r="C37" s="5">
        <v>1</v>
      </c>
      <c r="D37" s="5"/>
      <c r="E37" s="10"/>
      <c r="F37" s="10"/>
      <c r="G37" s="11">
        <v>3</v>
      </c>
      <c r="H37" s="11"/>
      <c r="I37" s="11"/>
      <c r="J37" s="11"/>
      <c r="K37" s="11"/>
      <c r="L37" s="11"/>
      <c r="M37" s="11"/>
      <c r="N37" s="11"/>
      <c r="O37" s="11"/>
      <c r="P37" s="11"/>
      <c r="Q37" s="11">
        <f t="shared" si="2"/>
        <v>3</v>
      </c>
    </row>
    <row r="38" spans="1:17" x14ac:dyDescent="0.25">
      <c r="A38" s="5" t="s">
        <v>81</v>
      </c>
      <c r="B38" s="6" t="s">
        <v>82</v>
      </c>
      <c r="C38" s="5">
        <v>1</v>
      </c>
      <c r="D38" s="5">
        <v>0</v>
      </c>
      <c r="E38" s="10"/>
      <c r="F38" s="10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>
        <f t="shared" si="2"/>
        <v>0</v>
      </c>
    </row>
    <row r="39" spans="1:17" x14ac:dyDescent="0.25">
      <c r="A39" s="8" t="s">
        <v>83</v>
      </c>
      <c r="B39" s="9" t="s">
        <v>84</v>
      </c>
      <c r="C39" s="8"/>
      <c r="D39" s="8">
        <v>123</v>
      </c>
      <c r="E39" s="11">
        <v>5</v>
      </c>
      <c r="F39" s="11">
        <v>5</v>
      </c>
      <c r="G39" s="11">
        <v>6</v>
      </c>
      <c r="H39" s="11"/>
      <c r="I39" s="11"/>
      <c r="J39" s="11"/>
      <c r="K39" s="11"/>
      <c r="L39" s="11"/>
      <c r="M39" s="11"/>
      <c r="N39" s="11"/>
      <c r="O39" s="11"/>
      <c r="P39" s="11"/>
      <c r="Q39" s="11">
        <f t="shared" si="2"/>
        <v>139</v>
      </c>
    </row>
    <row r="40" spans="1:17" x14ac:dyDescent="0.25">
      <c r="A40" s="8" t="s">
        <v>85</v>
      </c>
      <c r="B40" s="9" t="s">
        <v>86</v>
      </c>
      <c r="C40" s="8"/>
      <c r="D40" s="8">
        <v>160</v>
      </c>
      <c r="E40" s="11">
        <v>5</v>
      </c>
      <c r="F40" s="11">
        <v>5</v>
      </c>
      <c r="G40" s="11">
        <v>6</v>
      </c>
      <c r="H40" s="11"/>
      <c r="I40" s="11"/>
      <c r="J40" s="11"/>
      <c r="K40" s="11"/>
      <c r="L40" s="11"/>
      <c r="M40" s="11"/>
      <c r="N40" s="11"/>
      <c r="O40" s="11"/>
      <c r="P40" s="11"/>
      <c r="Q40" s="11">
        <f t="shared" si="2"/>
        <v>176</v>
      </c>
    </row>
    <row r="41" spans="1:17" x14ac:dyDescent="0.25">
      <c r="A41" s="5" t="s">
        <v>87</v>
      </c>
      <c r="B41" s="6" t="s">
        <v>88</v>
      </c>
      <c r="C41" s="5"/>
      <c r="D41" s="5"/>
      <c r="E41" s="10"/>
      <c r="F41" s="10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>
        <f t="shared" si="2"/>
        <v>0</v>
      </c>
    </row>
    <row r="42" spans="1:17" x14ac:dyDescent="0.25">
      <c r="A42" s="8" t="s">
        <v>89</v>
      </c>
      <c r="B42" s="9" t="s">
        <v>90</v>
      </c>
      <c r="C42" s="8"/>
      <c r="D42" s="8">
        <v>172</v>
      </c>
      <c r="E42" s="11">
        <v>5</v>
      </c>
      <c r="F42" s="11">
        <v>5</v>
      </c>
      <c r="G42" s="11">
        <v>6</v>
      </c>
      <c r="H42" s="11"/>
      <c r="I42" s="11"/>
      <c r="J42" s="11"/>
      <c r="K42" s="11"/>
      <c r="L42" s="11"/>
      <c r="M42" s="11"/>
      <c r="N42" s="11"/>
      <c r="O42" s="11"/>
      <c r="P42" s="11"/>
      <c r="Q42" s="11">
        <f t="shared" si="2"/>
        <v>188</v>
      </c>
    </row>
    <row r="43" spans="1:17" x14ac:dyDescent="0.25">
      <c r="A43" s="8" t="s">
        <v>85</v>
      </c>
      <c r="B43" s="9" t="s">
        <v>91</v>
      </c>
      <c r="C43" s="8"/>
      <c r="D43" s="8">
        <v>109</v>
      </c>
      <c r="E43" s="11">
        <v>5</v>
      </c>
      <c r="F43" s="11">
        <v>5</v>
      </c>
      <c r="G43" s="11">
        <v>6</v>
      </c>
      <c r="H43" s="11"/>
      <c r="I43" s="11"/>
      <c r="J43" s="11"/>
      <c r="K43" s="11"/>
      <c r="L43" s="11"/>
      <c r="M43" s="11"/>
      <c r="N43" s="11"/>
      <c r="O43" s="11"/>
      <c r="P43" s="11"/>
      <c r="Q43" s="11">
        <f t="shared" si="2"/>
        <v>125</v>
      </c>
    </row>
    <row r="44" spans="1:17" x14ac:dyDescent="0.25">
      <c r="A44" s="8" t="s">
        <v>92</v>
      </c>
      <c r="B44" s="9" t="s">
        <v>93</v>
      </c>
      <c r="C44" s="8"/>
      <c r="D44" s="8">
        <v>198</v>
      </c>
      <c r="E44" s="11">
        <v>5</v>
      </c>
      <c r="F44" s="11">
        <v>5</v>
      </c>
      <c r="G44" s="11">
        <v>6</v>
      </c>
      <c r="H44" s="11"/>
      <c r="I44" s="11"/>
      <c r="J44" s="11"/>
      <c r="K44" s="11"/>
      <c r="L44" s="11"/>
      <c r="M44" s="11"/>
      <c r="N44" s="11"/>
      <c r="O44" s="11"/>
      <c r="P44" s="11"/>
      <c r="Q44" s="11">
        <f t="shared" si="2"/>
        <v>214</v>
      </c>
    </row>
    <row r="45" spans="1:17" x14ac:dyDescent="0.25">
      <c r="A45" s="8" t="s">
        <v>94</v>
      </c>
      <c r="B45" s="9" t="s">
        <v>95</v>
      </c>
      <c r="C45" s="8"/>
      <c r="D45" s="8">
        <v>90</v>
      </c>
      <c r="E45" s="11">
        <v>5</v>
      </c>
      <c r="F45" s="11">
        <v>5</v>
      </c>
      <c r="G45" s="11">
        <v>6</v>
      </c>
      <c r="H45" s="11"/>
      <c r="I45" s="11"/>
      <c r="J45" s="11"/>
      <c r="K45" s="11"/>
      <c r="L45" s="11"/>
      <c r="M45" s="11"/>
      <c r="N45" s="11"/>
      <c r="O45" s="11"/>
      <c r="P45" s="11"/>
      <c r="Q45" s="11">
        <f t="shared" si="2"/>
        <v>106</v>
      </c>
    </row>
    <row r="46" spans="1:17" x14ac:dyDescent="0.25">
      <c r="A46" s="5" t="s">
        <v>96</v>
      </c>
      <c r="B46" s="6" t="s">
        <v>97</v>
      </c>
      <c r="C46" s="5"/>
      <c r="D46" s="5">
        <v>15</v>
      </c>
      <c r="E46" s="11">
        <v>5</v>
      </c>
      <c r="F46" s="11">
        <v>5</v>
      </c>
      <c r="G46" s="11">
        <v>6</v>
      </c>
      <c r="H46" s="11"/>
      <c r="I46" s="11"/>
      <c r="J46" s="11"/>
      <c r="K46" s="11"/>
      <c r="L46" s="11"/>
      <c r="M46" s="11"/>
      <c r="N46" s="11"/>
      <c r="O46" s="11"/>
      <c r="P46" s="11"/>
      <c r="Q46" s="11">
        <f t="shared" si="2"/>
        <v>31</v>
      </c>
    </row>
    <row r="47" spans="1:17" x14ac:dyDescent="0.25">
      <c r="A47" s="8" t="s">
        <v>98</v>
      </c>
      <c r="B47" s="9" t="s">
        <v>99</v>
      </c>
      <c r="C47" s="8"/>
      <c r="D47" s="8">
        <v>199</v>
      </c>
      <c r="E47" s="11">
        <v>5</v>
      </c>
      <c r="F47" s="11">
        <v>5</v>
      </c>
      <c r="G47" s="11">
        <v>6</v>
      </c>
      <c r="H47" s="11"/>
      <c r="I47" s="11"/>
      <c r="J47" s="11"/>
      <c r="K47" s="11"/>
      <c r="L47" s="11"/>
      <c r="M47" s="11"/>
      <c r="N47" s="11"/>
      <c r="O47" s="11"/>
      <c r="P47" s="11"/>
      <c r="Q47" s="11">
        <f t="shared" si="2"/>
        <v>215</v>
      </c>
    </row>
    <row r="48" spans="1:17" x14ac:dyDescent="0.25">
      <c r="A48" s="5" t="s">
        <v>100</v>
      </c>
      <c r="B48" s="6" t="s">
        <v>101</v>
      </c>
      <c r="C48" s="5"/>
      <c r="D48" s="5">
        <v>25</v>
      </c>
      <c r="E48" s="11">
        <v>5</v>
      </c>
      <c r="F48" s="11">
        <v>5</v>
      </c>
      <c r="G48" s="11">
        <v>6</v>
      </c>
      <c r="H48" s="11"/>
      <c r="I48" s="11"/>
      <c r="J48" s="11"/>
      <c r="K48" s="11"/>
      <c r="L48" s="11"/>
      <c r="M48" s="11"/>
      <c r="N48" s="11"/>
      <c r="O48" s="11"/>
      <c r="P48" s="11"/>
      <c r="Q48" s="11">
        <f t="shared" si="2"/>
        <v>41</v>
      </c>
    </row>
    <row r="49" spans="1:17" x14ac:dyDescent="0.25">
      <c r="A49" s="5" t="s">
        <v>102</v>
      </c>
      <c r="B49" s="6" t="s">
        <v>103</v>
      </c>
      <c r="C49" s="5"/>
      <c r="D49" s="5">
        <v>0</v>
      </c>
      <c r="E49" s="7"/>
      <c r="F49" s="7"/>
      <c r="G49" s="10"/>
      <c r="H49" s="10"/>
      <c r="I49" s="11"/>
      <c r="J49" s="11"/>
      <c r="K49" s="11"/>
      <c r="L49" s="11"/>
      <c r="M49" s="11"/>
      <c r="N49" s="11"/>
      <c r="O49" s="11"/>
      <c r="P49" s="11"/>
      <c r="Q49" s="11">
        <f t="shared" si="2"/>
        <v>0</v>
      </c>
    </row>
    <row r="50" spans="1:17" x14ac:dyDescent="0.25">
      <c r="A50" s="5" t="s">
        <v>104</v>
      </c>
      <c r="B50" s="6" t="s">
        <v>105</v>
      </c>
      <c r="C50" s="5"/>
      <c r="D50" s="5">
        <v>25</v>
      </c>
      <c r="E50" s="11">
        <v>5</v>
      </c>
      <c r="F50" s="11">
        <v>5</v>
      </c>
      <c r="G50" s="11">
        <v>6</v>
      </c>
      <c r="H50" s="11"/>
      <c r="I50" s="11"/>
      <c r="J50" s="11"/>
      <c r="K50" s="11"/>
      <c r="L50" s="11"/>
      <c r="M50" s="11"/>
      <c r="N50" s="11"/>
      <c r="O50" s="11"/>
      <c r="P50" s="11"/>
      <c r="Q50" s="11">
        <f t="shared" si="2"/>
        <v>41</v>
      </c>
    </row>
    <row r="51" spans="1:17" x14ac:dyDescent="0.25">
      <c r="A51" s="5" t="s">
        <v>106</v>
      </c>
      <c r="B51" s="6" t="s">
        <v>107</v>
      </c>
      <c r="C51" s="6"/>
      <c r="D51" s="5">
        <v>0</v>
      </c>
      <c r="E51" s="10"/>
      <c r="F51" s="10"/>
      <c r="G51" s="10"/>
      <c r="H51" s="11"/>
      <c r="I51" s="11"/>
      <c r="J51" s="11"/>
      <c r="K51" s="11"/>
      <c r="L51" s="11"/>
      <c r="M51" s="11"/>
      <c r="N51" s="11"/>
      <c r="O51" s="11"/>
      <c r="P51" s="11"/>
      <c r="Q51" s="11">
        <f t="shared" si="2"/>
        <v>0</v>
      </c>
    </row>
    <row r="52" spans="1:17" x14ac:dyDescent="0.25">
      <c r="A52" s="5" t="s">
        <v>108</v>
      </c>
      <c r="B52" s="6" t="s">
        <v>109</v>
      </c>
      <c r="C52" s="6"/>
      <c r="D52" s="5">
        <v>0</v>
      </c>
      <c r="E52" s="11"/>
      <c r="F52" s="11">
        <v>5</v>
      </c>
      <c r="G52" s="11">
        <v>6</v>
      </c>
      <c r="H52" s="11"/>
      <c r="I52" s="11"/>
      <c r="J52" s="11"/>
      <c r="K52" s="11"/>
      <c r="L52" s="11"/>
      <c r="M52" s="11"/>
      <c r="N52" s="11"/>
      <c r="O52" s="11"/>
      <c r="P52" s="11"/>
      <c r="Q52" s="11">
        <f t="shared" si="2"/>
        <v>11</v>
      </c>
    </row>
    <row r="53" spans="1:17" x14ac:dyDescent="0.25">
      <c r="B53" s="13" t="s">
        <v>61</v>
      </c>
      <c r="C53" s="14"/>
      <c r="D53" s="7">
        <f>SUM(D29:D52)</f>
        <v>1644</v>
      </c>
      <c r="E53" s="7">
        <f>SUM(E29:E52)</f>
        <v>85</v>
      </c>
      <c r="F53" s="7">
        <f t="shared" ref="F53:L53" si="3">SUM(F29:F52)</f>
        <v>90</v>
      </c>
      <c r="G53" s="7">
        <f t="shared" si="3"/>
        <v>111</v>
      </c>
      <c r="H53" s="7">
        <f t="shared" si="3"/>
        <v>0</v>
      </c>
      <c r="I53" s="7">
        <f t="shared" si="3"/>
        <v>0</v>
      </c>
      <c r="J53" s="7">
        <f t="shared" si="3"/>
        <v>0</v>
      </c>
      <c r="K53" s="7">
        <f t="shared" si="3"/>
        <v>0</v>
      </c>
      <c r="L53" s="7">
        <f t="shared" si="3"/>
        <v>0</v>
      </c>
      <c r="N53" s="15" t="s">
        <v>110</v>
      </c>
      <c r="O53" s="15"/>
      <c r="P53" s="15"/>
      <c r="Q53" s="5">
        <f>SUM(Q29:Q52)</f>
        <v>1930</v>
      </c>
    </row>
  </sheetData>
  <mergeCells count="5">
    <mergeCell ref="B26:C26"/>
    <mergeCell ref="N26:P26"/>
    <mergeCell ref="B53:C53"/>
    <mergeCell ref="N53:P53"/>
    <mergeCell ref="A1:Q1"/>
  </mergeCells>
  <pageMargins left="0" right="0" top="0.35433070866141736" bottom="0.35433070866141736" header="0.31496062992125984" footer="0.31496062992125984"/>
  <pageSetup scale="6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Mosquera</dc:creator>
  <cp:lastModifiedBy>Daniel Mosquera</cp:lastModifiedBy>
  <cp:lastPrinted>2026-03-08T19:01:08Z</cp:lastPrinted>
  <dcterms:created xsi:type="dcterms:W3CDTF">2026-01-21T19:18:18Z</dcterms:created>
  <dcterms:modified xsi:type="dcterms:W3CDTF">2026-03-13T01:12:13Z</dcterms:modified>
</cp:coreProperties>
</file>